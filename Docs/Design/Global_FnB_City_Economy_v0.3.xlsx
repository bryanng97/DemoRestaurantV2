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hase 1 scope" sheetId="2" state="visible" r:id="rId4"/>
    <sheet name="Settings" sheetId="3" state="visible" r:id="rId5"/>
    <sheet name="Ingredients" sheetId="4" state="visible" r:id="rId6"/>
    <sheet name="Dishes" sheetId="5" state="visible" r:id="rId7"/>
    <sheet name="Furniture" sheetId="6" state="visible" r:id="rId8"/>
    <sheet name="Expansions" sheetId="7" state="visible" r:id="rId9"/>
    <sheet name="Levels" sheetId="8" state="visible" r:id="rId10"/>
    <sheet name="Staff" sheetId="9" state="visible" r:id="rId11"/>
    <sheet name="Balance check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<sst xmlns="http://schemas.openxmlformats.org/spreadsheetml/2006/main" count="1171" uniqueCount="669">
  <si>
    <t xml:space="preserve">Global F&amp;B City: game economy</t>
  </si>
  <si>
    <t xml:space="preserve">Draft v0.3: every Restaurant City system is included, with what the original did shown beside our settings.</t>
  </si>
  <si>
    <t xml:space="preserve">How to use</t>
  </si>
  <si>
    <t xml:space="preserve">Change</t>
  </si>
  <si>
    <t xml:space="preserve">Only blue cells. Black and green cells are formulas.</t>
  </si>
  <si>
    <t xml:space="preserve">Pale yellow</t>
  </si>
  <si>
    <t xml:space="preserve">Our own proposals or changes from Restaurant City.</t>
  </si>
  <si>
    <t xml:space="preserve">Pale blue</t>
  </si>
  <si>
    <t xml:space="preserve">What Restaurant City did, for reference, or features taken from it.</t>
  </si>
  <si>
    <t xml:space="preserve">IDs</t>
  </si>
  <si>
    <t xml:space="preserve">Lowercase IDs are what the game code uses. Don't rename an ID once the developer uses it.</t>
  </si>
  <si>
    <t xml:space="preserve">Phase 1</t>
  </si>
  <si>
    <t xml:space="preserve">Set Yes or No in each "In Phase 1" column; the Phase 1 scope sheet counts it.</t>
  </si>
  <si>
    <t xml:space="preserve">What changed in v0.3</t>
  </si>
  <si>
    <t xml:space="preserve">Dish levels</t>
  </si>
  <si>
    <t xml:space="preserve">Up to 10, as in Restaurant City (was 5). One full set of ingredients per level; price rises 20% per level.</t>
  </si>
  <si>
    <t xml:space="preserve">Menu</t>
  </si>
  <si>
    <t xml:space="preserve">Starters, mains and desserts from level 1, drinks from level 15. 1 dish per category, 2 from level 10, 3 from level 20.</t>
  </si>
  <si>
    <t xml:space="preserve">New content</t>
  </si>
  <si>
    <t xml:space="preserve">5 drinks, 5 ingredients, toilets, a drinks counter, a jukebox and an arcade machine.</t>
  </si>
  <si>
    <t xml:space="preserve">Levels</t>
  </si>
  <si>
    <t xml:space="preserve">65 levels with staff slots (up to 9), garden plots (up to 9) and expansions, including outdoor terraces from level 20.</t>
  </si>
  <si>
    <t xml:space="preserve">New settings</t>
  </si>
  <si>
    <t xml:space="preserve">Staff energy, snacks and breaks; login streak; daily quiz; visit rewards; gifts; trash; surprise visitor; garden; market; fun machines.</t>
  </si>
  <si>
    <t xml:space="preserve">Sell-back</t>
  </si>
  <si>
    <t xml:space="preserve">One third of the price, as in Restaurant City (was half).</t>
  </si>
  <si>
    <t xml:space="preserve">Sheets</t>
  </si>
  <si>
    <t xml:space="preserve">Phase 1 scope</t>
  </si>
  <si>
    <t xml:space="preserve">What goes into the vertical slice.</t>
  </si>
  <si>
    <t xml:space="preserve">Settings</t>
  </si>
  <si>
    <t xml:space="preserve">All global rules, with the Restaurant City reference column.</t>
  </si>
  <si>
    <t xml:space="preserve">Ingredients</t>
  </si>
  <si>
    <t xml:space="preserve">38 ingredients with 1 to 5 star rarity.</t>
  </si>
  <si>
    <t xml:space="preserve">Dishes</t>
  </si>
  <si>
    <t xml:space="preserve">25 dishes in 4 categories with prices for levels 1 to 10.</t>
  </si>
  <si>
    <t xml:space="preserve">Furniture</t>
  </si>
  <si>
    <t xml:space="preserve">38 items with cost, ambience and unlock level.</t>
  </si>
  <si>
    <t xml:space="preserve">Expansions</t>
  </si>
  <si>
    <t xml:space="preserve">Indoor expansions, outdoor terraces and a second restaurant in another city.</t>
  </si>
  <si>
    <t xml:space="preserve">Levels 1 to 65 and what each unlocks.</t>
  </si>
  <si>
    <t xml:space="preserve">Staff</t>
  </si>
  <si>
    <t xml:space="preserve">Roles and hire costs.</t>
  </si>
  <si>
    <t xml:space="preserve">Balance check</t>
  </si>
  <si>
    <t xml:space="preserve">Rough guests and coins per minute.</t>
  </si>
  <si>
    <t xml:space="preserve">Known gaps</t>
  </si>
  <si>
    <t xml:space="preserve">Premium currency</t>
  </si>
  <si>
    <t xml:space="preserve">Gold Spoon prices and the shop are not here yet.</t>
  </si>
  <si>
    <t xml:space="preserve">Timers</t>
  </si>
  <si>
    <t xml:space="preserve">The crate cooldown is a testing value. Set real timers after playtests.</t>
  </si>
  <si>
    <t xml:space="preserve">Phase 1 scope: vertical slice</t>
  </si>
  <si>
    <t xml:space="preserve">Counts update from the Yes/No columns. Blue numbers are targets for content outside this workbook.</t>
  </si>
  <si>
    <t xml:space="preserve">Content</t>
  </si>
  <si>
    <t xml:space="preserve">Phase 1 amount</t>
  </si>
  <si>
    <t xml:space="preserve">Notes</t>
  </si>
  <si>
    <t xml:space="preserve">Gameplay content</t>
  </si>
  <si>
    <t xml:space="preserve">Malaysia's 4, plus pizza, burger and pancakes so starters, mains and desserts are all covered</t>
  </si>
  <si>
    <t xml:space="preserve">Only what the Phase 1 dishes use</t>
  </si>
  <si>
    <t xml:space="preserve">of which grown in the garden</t>
  </si>
  <si>
    <t xml:space="preserve">Restaurant levels</t>
  </si>
  <si>
    <t xml:space="preserve">Set in Settings</t>
  </si>
  <si>
    <t xml:space="preserve">Menu slots at the top Phase 1 level</t>
  </si>
  <si>
    <t xml:space="preserve">Staff slots at the top Phase 1 level</t>
  </si>
  <si>
    <t xml:space="preserve">Garden plots at the top Phase 1 level</t>
  </si>
  <si>
    <t xml:space="preserve">Restaurant expansions</t>
  </si>
  <si>
    <t xml:space="preserve">Staff roles</t>
  </si>
  <si>
    <t xml:space="preserve">Chef and waiter</t>
  </si>
  <si>
    <t xml:space="preserve">Surprise visitor types</t>
  </si>
  <si>
    <t xml:space="preserve">Travelling chef</t>
  </si>
  <si>
    <t xml:space="preserve">Daily goal pool</t>
  </si>
  <si>
    <t xml:space="preserve">3 offered per day</t>
  </si>
  <si>
    <t xml:space="preserve">Tutorial length (minutes)</t>
  </si>
  <si>
    <t xml:space="preserve">Friend restaurants to visit</t>
  </si>
  <si>
    <t xml:space="preserve">A pretend friend; real friends come in Phase 2</t>
  </si>
  <si>
    <t xml:space="preserve">Art</t>
  </si>
  <si>
    <t xml:space="preserve">Working furniture</t>
  </si>
  <si>
    <t xml:space="preserve">Fun machines</t>
  </si>
  <si>
    <t xml:space="preserve">Restaurant City-style machines come at launch</t>
  </si>
  <si>
    <t xml:space="preserve">Decor items</t>
  </si>
  <si>
    <t xml:space="preserve">of which Malaysia themed set</t>
  </si>
  <si>
    <t xml:space="preserve">Floors</t>
  </si>
  <si>
    <t xml:space="preserve">Wallpapers</t>
  </si>
  <si>
    <t xml:space="preserve">Character parts</t>
  </si>
  <si>
    <t xml:space="preserve">Character animations</t>
  </si>
  <si>
    <t xml:space="preserve">UI icons and buttons</t>
  </si>
  <si>
    <t xml:space="preserve">Game screens</t>
  </si>
  <si>
    <t xml:space="preserve">Total art pieces</t>
  </si>
  <si>
    <t xml:space="preserve">Furniture, floors, walls, 2 per dish, ingredient icons, character parts, UI icons</t>
  </si>
  <si>
    <t xml:space="preserve">Global tuning settings</t>
  </si>
  <si>
    <t xml:space="preserve">Blue values are inputs. The blue-shaded column shows what Restaurant City did, for reference. Our coin amounts use our own scale, not Restaurant City's.</t>
  </si>
  <si>
    <t xml:space="preserve">Setting</t>
  </si>
  <si>
    <t xml:space="preserve">Value</t>
  </si>
  <si>
    <t xml:space="preserve">Unit</t>
  </si>
  <si>
    <t xml:space="preserve">Source</t>
  </si>
  <si>
    <t xml:space="preserve">Restaurant City did</t>
  </si>
  <si>
    <t xml:space="preserve">Start</t>
  </si>
  <si>
    <t xml:space="preserve">Starting coins</t>
  </si>
  <si>
    <t xml:space="preserve">coins</t>
  </si>
  <si>
    <t xml:space="preserve">Prototype</t>
  </si>
  <si>
    <t xml:space="preserve">Starting star rating</t>
  </si>
  <si>
    <t xml:space="preserve">stars</t>
  </si>
  <si>
    <t xml:space="preserve">Approval rating from 0 to 50</t>
  </si>
  <si>
    <t xml:space="preserve">Starting tables</t>
  </si>
  <si>
    <t xml:space="preserve">tables</t>
  </si>
  <si>
    <t xml:space="preserve">Starting staff</t>
  </si>
  <si>
    <t xml:space="preserve">people</t>
  </si>
  <si>
    <t xml:space="preserve">1 chef and 1 waiter</t>
  </si>
  <si>
    <t xml:space="preserve">At least a chef and a waiter</t>
  </si>
  <si>
    <t xml:space="preserve">Progression</t>
  </si>
  <si>
    <t xml:space="preserve">XP curve: base</t>
  </si>
  <si>
    <t xml:space="preserve">XP</t>
  </si>
  <si>
    <t xml:space="preserve">XP to next level = base + per level x current level</t>
  </si>
  <si>
    <t xml:space="preserve">Levels came from points earned by serving</t>
  </si>
  <si>
    <t xml:space="preserve">XP curve: added per level</t>
  </si>
  <si>
    <t xml:space="preserve">Highest restaurant level</t>
  </si>
  <si>
    <t xml:space="preserve">level</t>
  </si>
  <si>
    <t xml:space="preserve">Restaurant City feature</t>
  </si>
  <si>
    <t xml:space="preserve">65 levels</t>
  </si>
  <si>
    <t xml:space="preserve">Coins reward per level-up</t>
  </si>
  <si>
    <t xml:space="preserve">1,000 coins per level, in its own economy</t>
  </si>
  <si>
    <t xml:space="preserve">Menu categories at level 1</t>
  </si>
  <si>
    <t xml:space="preserve">categories</t>
  </si>
  <si>
    <t xml:space="preserve">Starters, mains and desserts</t>
  </si>
  <si>
    <t xml:space="preserve">Drinks category unlocks at level</t>
  </si>
  <si>
    <t xml:space="preserve">Needs a drinks counter</t>
  </si>
  <si>
    <t xml:space="preserve">Drinks at level 15</t>
  </si>
  <si>
    <t xml:space="preserve">Dishes per category at level 1</t>
  </si>
  <si>
    <t xml:space="preserve">dishes</t>
  </si>
  <si>
    <t xml:space="preserve">One starter, one main, one dessert</t>
  </si>
  <si>
    <t xml:space="preserve">2 dishes per category from level</t>
  </si>
  <si>
    <t xml:space="preserve">Level 10</t>
  </si>
  <si>
    <t xml:space="preserve">3 dishes per category from level</t>
  </si>
  <si>
    <t xml:space="preserve">Level 20</t>
  </si>
  <si>
    <t xml:space="preserve">Price increase per dish level</t>
  </si>
  <si>
    <t xml:space="preserve">of base price</t>
  </si>
  <si>
    <t xml:space="preserve">Changed</t>
  </si>
  <si>
    <t xml:space="preserve">Was 35% with 5 levels; 20% keeps level 10 at 2.8x base</t>
  </si>
  <si>
    <t xml:space="preserve">Price per serve stayed the same; points per serve rose instead</t>
  </si>
  <si>
    <t xml:space="preserve">Max dish level</t>
  </si>
  <si>
    <t xml:space="preserve">Was 5 in the prototype</t>
  </si>
  <si>
    <t xml:space="preserve">Levels 1 to 10</t>
  </si>
  <si>
    <t xml:space="preserve">Ingredients of each type per upgrade</t>
  </si>
  <si>
    <t xml:space="preserve">items</t>
  </si>
  <si>
    <t xml:space="preserve">One full set per level; the prototype needed more each level</t>
  </si>
  <si>
    <t xml:space="preserve">One full set of the recipe per level</t>
  </si>
  <si>
    <t xml:space="preserve">XP per dish served: base</t>
  </si>
  <si>
    <t xml:space="preserve">Total = base + per level x dish level</t>
  </si>
  <si>
    <t xml:space="preserve">XP per dish served: per dish level</t>
  </si>
  <si>
    <t xml:space="preserve">Points per serve rose from 1 to 2.8 with dish level</t>
  </si>
  <si>
    <t xml:space="preserve">XP per dish upgrade: base</t>
  </si>
  <si>
    <t xml:space="preserve">Total = base + per level x new level</t>
  </si>
  <si>
    <t xml:space="preserve">XP per dish upgrade: per level</t>
  </si>
  <si>
    <t xml:space="preserve">New proposal</t>
  </si>
  <si>
    <t xml:space="preserve">Bigger rewards for higher levels</t>
  </si>
  <si>
    <t xml:space="preserve">25 points to learn, then 50 rising to 800</t>
  </si>
  <si>
    <t xml:space="preserve">Guests</t>
  </si>
  <si>
    <t xml:space="preserve">Guest patience: base</t>
  </si>
  <si>
    <t xml:space="preserve">seconds</t>
  </si>
  <si>
    <t xml:space="preserve">Guest patience: added per ambience point</t>
  </si>
  <si>
    <t xml:space="preserve">Eating time</t>
  </si>
  <si>
    <t xml:space="preserve">Tip per ambience point</t>
  </si>
  <si>
    <t xml:space="preserve">of bill</t>
  </si>
  <si>
    <t xml:space="preserve">Tip cap</t>
  </si>
  <si>
    <t xml:space="preserve">Guests need toilets from level</t>
  </si>
  <si>
    <t xml:space="preserve">Level 8</t>
  </si>
  <si>
    <t xml:space="preserve">Arrival interval: base</t>
  </si>
  <si>
    <t xml:space="preserve">Seconds between guests = base - per star x rating - per level x level</t>
  </si>
  <si>
    <t xml:space="preserve">Arrival interval: less per star</t>
  </si>
  <si>
    <t xml:space="preserve">Arrival interval: less per level</t>
  </si>
  <si>
    <t xml:space="preserve">Arrival interval: minimum</t>
  </si>
  <si>
    <t xml:space="preserve">Rating</t>
  </si>
  <si>
    <t xml:space="preserve">Rating gain: fast service</t>
  </si>
  <si>
    <t xml:space="preserve">+0.01 per happy guest on a 0 to 50 scale</t>
  </si>
  <si>
    <t xml:space="preserve">Rating gain: slow service</t>
  </si>
  <si>
    <t xml:space="preserve">Fast service threshold</t>
  </si>
  <si>
    <t xml:space="preserve">of patience left</t>
  </si>
  <si>
    <t xml:space="preserve">Ambience boost divisor</t>
  </si>
  <si>
    <t xml:space="preserve">points</t>
  </si>
  <si>
    <t xml:space="preserve">Rating loss: guest leaves angry</t>
  </si>
  <si>
    <t xml:space="preserve">-0.01 per unhappy guest</t>
  </si>
  <si>
    <t xml:space="preserve">Staff slots at level 1</t>
  </si>
  <si>
    <t xml:space="preserve">slots</t>
  </si>
  <si>
    <t xml:space="preserve">Up to 9 friends as staff</t>
  </si>
  <si>
    <t xml:space="preserve">Extra staff slot at level</t>
  </si>
  <si>
    <t xml:space="preserve">Level 2</t>
  </si>
  <si>
    <t xml:space="preserve">Level 5</t>
  </si>
  <si>
    <t xml:space="preserve">Level 11</t>
  </si>
  <si>
    <t xml:space="preserve">Level 14</t>
  </si>
  <si>
    <t xml:space="preserve">Level 17</t>
  </si>
  <si>
    <t xml:space="preserve">Level 21</t>
  </si>
  <si>
    <t xml:space="preserve">Staff energy lasts</t>
  </si>
  <si>
    <t xml:space="preserve">hours</t>
  </si>
  <si>
    <t xml:space="preserve">Tired staff slow down; the restaurant never fully closes</t>
  </si>
  <si>
    <t xml:space="preserve">About 3 hours; all exhausted = restaurant closed</t>
  </si>
  <si>
    <t xml:space="preserve">Snack cost (small refill)</t>
  </si>
  <si>
    <t xml:space="preserve">Friends can also gift snacks</t>
  </si>
  <si>
    <t xml:space="preserve">Water for 60 coins</t>
  </si>
  <si>
    <t xml:space="preserve">Snack refill</t>
  </si>
  <si>
    <t xml:space="preserve">of energy</t>
  </si>
  <si>
    <t xml:space="preserve">Meal cost (full refill)</t>
  </si>
  <si>
    <t xml:space="preserve">Sandwich for 200 coins</t>
  </si>
  <si>
    <t xml:space="preserve">Free break length</t>
  </si>
  <si>
    <t xml:space="preserve">minutes</t>
  </si>
  <si>
    <t xml:space="preserve">Staff rest for free but stop working</t>
  </si>
  <si>
    <t xml:space="preserve">Resting took about an hour</t>
  </si>
  <si>
    <t xml:space="preserve">Hire cost: base</t>
  </si>
  <si>
    <t xml:space="preserve">Hire cost = base + per person x current team size</t>
  </si>
  <si>
    <t xml:space="preserve">Hire cost: added per team member</t>
  </si>
  <si>
    <t xml:space="preserve">Ingredients and market</t>
  </si>
  <si>
    <t xml:space="preserve">Market crate cooldown</t>
  </si>
  <si>
    <t xml:space="preserve">Testing speed only; set real timers after playtests</t>
  </si>
  <si>
    <t xml:space="preserve">Ingredients per crate</t>
  </si>
  <si>
    <t xml:space="preserve">Chance a crate slot matches your menu</t>
  </si>
  <si>
    <t xml:space="preserve">chance</t>
  </si>
  <si>
    <t xml:space="preserve">Chance a happy guest leaves an ingredient</t>
  </si>
  <si>
    <t xml:space="preserve">Daily market deals</t>
  </si>
  <si>
    <t xml:space="preserve">3 discounted ingredients a day</t>
  </si>
  <si>
    <t xml:space="preserve">Daily deal discount</t>
  </si>
  <si>
    <t xml:space="preserve">off</t>
  </si>
  <si>
    <t xml:space="preserve">Premium items at 50% off</t>
  </si>
  <si>
    <t xml:space="preserve">Daily and social</t>
  </si>
  <si>
    <t xml:space="preserve">Login streak: ingredients on day 1</t>
  </si>
  <si>
    <t xml:space="preserve">1 on day 1</t>
  </si>
  <si>
    <t xml:space="preserve">Login streak: most ingredients per day</t>
  </si>
  <si>
    <t xml:space="preserve">Rose daily to 5</t>
  </si>
  <si>
    <t xml:space="preserve">Login streak: steps lost for a missed day</t>
  </si>
  <si>
    <t xml:space="preserve">steps</t>
  </si>
  <si>
    <t xml:space="preserve">Our upgrade</t>
  </si>
  <si>
    <t xml:space="preserve">A missed day steps back one level</t>
  </si>
  <si>
    <t xml:space="preserve">Missing a day reset to 1</t>
  </si>
  <si>
    <t xml:space="preserve">Daily quiz reward</t>
  </si>
  <si>
    <t xml:space="preserve">ingredients</t>
  </si>
  <si>
    <t xml:space="preserve">Questions about each country's food and culture</t>
  </si>
  <si>
    <t xml:space="preserve">1 ingredient for a correct answer</t>
  </si>
  <si>
    <t xml:space="preserve">Daily quiz time limit</t>
  </si>
  <si>
    <t xml:space="preserve">10 seconds</t>
  </si>
  <si>
    <t xml:space="preserve">Visit reward: first friend each day</t>
  </si>
  <si>
    <t xml:space="preserve">Our scale</t>
  </si>
  <si>
    <t xml:space="preserve">500 coins</t>
  </si>
  <si>
    <t xml:space="preserve">Visit reward: second friend</t>
  </si>
  <si>
    <t xml:space="preserve">100 coins</t>
  </si>
  <si>
    <t xml:space="preserve">Visit reward: third to fifth friend</t>
  </si>
  <si>
    <t xml:space="preserve">50 coins</t>
  </si>
  <si>
    <t xml:space="preserve">Visit reward: after that</t>
  </si>
  <si>
    <t xml:space="preserve">15 coins</t>
  </si>
  <si>
    <t xml:space="preserve">Free gifts per day</t>
  </si>
  <si>
    <t xml:space="preserve">friends</t>
  </si>
  <si>
    <t xml:space="preserve">Up to 20 friends</t>
  </si>
  <si>
    <t xml:space="preserve">Coins per piece of trash cleaned</t>
  </si>
  <si>
    <t xml:space="preserve">Cleaning a friend's trash can also drop an ingredient</t>
  </si>
  <si>
    <t xml:space="preserve">1 coin</t>
  </si>
  <si>
    <t xml:space="preserve">Surprise visitor appearances per day</t>
  </si>
  <si>
    <t xml:space="preserve">visits</t>
  </si>
  <si>
    <t xml:space="preserve">Travelling chef from the country of the week</t>
  </si>
  <si>
    <t xml:space="preserve">The Gourmet King appeared now and then</t>
  </si>
  <si>
    <t xml:space="preserve">Surprise visitor reward choices</t>
  </si>
  <si>
    <t xml:space="preserve">choices</t>
  </si>
  <si>
    <t xml:space="preserve">Pick 1 of 3</t>
  </si>
  <si>
    <t xml:space="preserve">Garden</t>
  </si>
  <si>
    <t xml:space="preserve">Garden plot 1 at level</t>
  </si>
  <si>
    <t xml:space="preserve">Earlier than the original so Phase 1 has 3 plots</t>
  </si>
  <si>
    <t xml:space="preserve">Level 6</t>
  </si>
  <si>
    <t xml:space="preserve">Garden plot 2 at level</t>
  </si>
  <si>
    <t xml:space="preserve">Level 13</t>
  </si>
  <si>
    <t xml:space="preserve">Garden plot 3 at level</t>
  </si>
  <si>
    <t xml:space="preserve">Level 18</t>
  </si>
  <si>
    <t xml:space="preserve">Garden plot 4 at level</t>
  </si>
  <si>
    <t xml:space="preserve">Level 22</t>
  </si>
  <si>
    <t xml:space="preserve">Garden plot 5 at level</t>
  </si>
  <si>
    <t xml:space="preserve">Level 24</t>
  </si>
  <si>
    <t xml:space="preserve">Garden plot 6 at level</t>
  </si>
  <si>
    <t xml:space="preserve">Level 26</t>
  </si>
  <si>
    <t xml:space="preserve">Garden plot 7 at level</t>
  </si>
  <si>
    <t xml:space="preserve">Level 28</t>
  </si>
  <si>
    <t xml:space="preserve">Garden plot 8 at level</t>
  </si>
  <si>
    <t xml:space="preserve">Level 30</t>
  </si>
  <si>
    <t xml:space="preserve">Garden plot 9 at level</t>
  </si>
  <si>
    <t xml:space="preserve">Level 32</t>
  </si>
  <si>
    <t xml:space="preserve">Default grow time</t>
  </si>
  <si>
    <t xml:space="preserve">Per-ingredient times are on the Ingredients sheet</t>
  </si>
  <si>
    <t xml:space="preserve">About 48 hours over 6 stages</t>
  </si>
  <si>
    <t xml:space="preserve">One watering lasts</t>
  </si>
  <si>
    <t xml:space="preserve">Plants pause, never die, when dry</t>
  </si>
  <si>
    <t xml:space="preserve">3 clicks = 9 hours; plants never died</t>
  </si>
  <si>
    <t xml:space="preserve">Seed cost</t>
  </si>
  <si>
    <t xml:space="preserve">2,000 coins for a random seed</t>
  </si>
  <si>
    <t xml:space="preserve">Coins per use</t>
  </si>
  <si>
    <t xml:space="preserve">Jukebox and arcade</t>
  </si>
  <si>
    <t xml:space="preserve">1 coin per use</t>
  </si>
  <si>
    <t xml:space="preserve">Uses before repair</t>
  </si>
  <si>
    <t xml:space="preserve">uses</t>
  </si>
  <si>
    <t xml:space="preserve">Broke after 6 to 10 uses</t>
  </si>
  <si>
    <t xml:space="preserve">Repair cost</t>
  </si>
  <si>
    <t xml:space="preserve">Friends can repair for free</t>
  </si>
  <si>
    <t xml:space="preserve">Sell-back value of furniture</t>
  </si>
  <si>
    <t xml:space="preserve">of cost</t>
  </si>
  <si>
    <t xml:space="preserve">Was 50% in the prototype</t>
  </si>
  <si>
    <t xml:space="preserve">One third of the price</t>
  </si>
  <si>
    <t xml:space="preserve">Phase 1 (vertical slice)</t>
  </si>
  <si>
    <t xml:space="preserve">Highest restaurant level in Phase 1</t>
  </si>
  <si>
    <t xml:space="preserve">Levels above this are switched off in the slice</t>
  </si>
  <si>
    <t xml:space="preserve">Themed set bonus when all pieces are placed</t>
  </si>
  <si>
    <t xml:space="preserve">ambience</t>
  </si>
  <si>
    <t xml:space="preserve">Offline income</t>
  </si>
  <si>
    <t xml:space="preserve">Offline income cap</t>
  </si>
  <si>
    <t xml:space="preserve">Earnings while the app is closed stop after this</t>
  </si>
  <si>
    <t xml:space="preserve">Staff kept working while you were away until exhausted</t>
  </si>
  <si>
    <t xml:space="preserve">Offline income rate</t>
  </si>
  <si>
    <t xml:space="preserve">of active rate</t>
  </si>
  <si>
    <t xml:space="preserve">38 ingredients for 25 dishes. Rarity runs 1 to 5 stars, as in Restaurant City; rarer items appear less often in random crate slots.</t>
  </si>
  <si>
    <t xml:space="preserve">ID</t>
  </si>
  <si>
    <t xml:space="preserve">Ingredient</t>
  </si>
  <si>
    <t xml:space="preserve">Rarity (stars)</t>
  </si>
  <si>
    <t xml:space="preserve">Garden grow time (hours)</t>
  </si>
  <si>
    <t xml:space="preserve">Crate weight</t>
  </si>
  <si>
    <t xml:space="preserve">Chance per random crate slot</t>
  </si>
  <si>
    <t xml:space="preserve">Used in dishes</t>
  </si>
  <si>
    <t xml:space="preserve">In Phase 1</t>
  </si>
  <si>
    <t xml:space="preserve">rice</t>
  </si>
  <si>
    <t xml:space="preserve">Rice</t>
  </si>
  <si>
    <t xml:space="preserve">Market</t>
  </si>
  <si>
    <t xml:space="preserve">coconut</t>
  </si>
  <si>
    <t xml:space="preserve">Coconut</t>
  </si>
  <si>
    <t xml:space="preserve">chili</t>
  </si>
  <si>
    <t xml:space="preserve">Chili</t>
  </si>
  <si>
    <t xml:space="preserve">chicken</t>
  </si>
  <si>
    <t xml:space="preserve">Chicken</t>
  </si>
  <si>
    <t xml:space="preserve">peanut</t>
  </si>
  <si>
    <t xml:space="preserve">Peanut</t>
  </si>
  <si>
    <t xml:space="preserve">lemongrass</t>
  </si>
  <si>
    <t xml:space="preserve">Lemongrass</t>
  </si>
  <si>
    <t xml:space="preserve">noodles</t>
  </si>
  <si>
    <t xml:space="preserve">Noodles</t>
  </si>
  <si>
    <t xml:space="preserve">shrimp</t>
  </si>
  <si>
    <t xml:space="preserve">Shrimp</t>
  </si>
  <si>
    <t xml:space="preserve">soy_sauce</t>
  </si>
  <si>
    <t xml:space="preserve">Soy sauce</t>
  </si>
  <si>
    <t xml:space="preserve">flour</t>
  </si>
  <si>
    <t xml:space="preserve">Flour</t>
  </si>
  <si>
    <t xml:space="preserve">butter</t>
  </si>
  <si>
    <t xml:space="preserve">Butter</t>
  </si>
  <si>
    <t xml:space="preserve">curry_spice</t>
  </si>
  <si>
    <t xml:space="preserve">Curry spice</t>
  </si>
  <si>
    <t xml:space="preserve">egg</t>
  </si>
  <si>
    <t xml:space="preserve">Egg</t>
  </si>
  <si>
    <t xml:space="preserve">fish</t>
  </si>
  <si>
    <t xml:space="preserve">Fish</t>
  </si>
  <si>
    <t xml:space="preserve">seaweed</t>
  </si>
  <si>
    <t xml:space="preserve">Seaweed</t>
  </si>
  <si>
    <t xml:space="preserve">matcha</t>
  </si>
  <si>
    <t xml:space="preserve">Matcha</t>
  </si>
  <si>
    <t xml:space="preserve">milk</t>
  </si>
  <si>
    <t xml:space="preserve">Milk</t>
  </si>
  <si>
    <t xml:space="preserve">sugar</t>
  </si>
  <si>
    <t xml:space="preserve">Sugar</t>
  </si>
  <si>
    <t xml:space="preserve">gochujang</t>
  </si>
  <si>
    <t xml:space="preserve">Gochujang</t>
  </si>
  <si>
    <t xml:space="preserve">rice_cake</t>
  </si>
  <si>
    <t xml:space="preserve">Rice cake</t>
  </si>
  <si>
    <t xml:space="preserve">garlic</t>
  </si>
  <si>
    <t xml:space="preserve">Garlic</t>
  </si>
  <si>
    <t xml:space="preserve">cabbage</t>
  </si>
  <si>
    <t xml:space="preserve">Cabbage</t>
  </si>
  <si>
    <t xml:space="preserve">tofu</t>
  </si>
  <si>
    <t xml:space="preserve">Tofu</t>
  </si>
  <si>
    <t xml:space="preserve">tomato</t>
  </si>
  <si>
    <t xml:space="preserve">Tomato</t>
  </si>
  <si>
    <t xml:space="preserve">cheese</t>
  </si>
  <si>
    <t xml:space="preserve">Cheese</t>
  </si>
  <si>
    <t xml:space="preserve">pasta</t>
  </si>
  <si>
    <t xml:space="preserve">Pasta</t>
  </si>
  <si>
    <t xml:space="preserve">mushroom</t>
  </si>
  <si>
    <t xml:space="preserve">Mushroom</t>
  </si>
  <si>
    <t xml:space="preserve">coffee</t>
  </si>
  <si>
    <t xml:space="preserve">Coffee</t>
  </si>
  <si>
    <t xml:space="preserve">cream</t>
  </si>
  <si>
    <t xml:space="preserve">Cream</t>
  </si>
  <si>
    <t xml:space="preserve">beef</t>
  </si>
  <si>
    <t xml:space="preserve">Beef</t>
  </si>
  <si>
    <t xml:space="preserve">bun</t>
  </si>
  <si>
    <t xml:space="preserve">Bun</t>
  </si>
  <si>
    <t xml:space="preserve">sausage</t>
  </si>
  <si>
    <t xml:space="preserve">Chicken sausage</t>
  </si>
  <si>
    <t xml:space="preserve">onion</t>
  </si>
  <si>
    <t xml:space="preserve">Onion</t>
  </si>
  <si>
    <t xml:space="preserve">tea</t>
  </si>
  <si>
    <t xml:space="preserve">Tea leaves</t>
  </si>
  <si>
    <t xml:space="preserve">ice</t>
  </si>
  <si>
    <t xml:space="preserve">Ice</t>
  </si>
  <si>
    <t xml:space="preserve">banana</t>
  </si>
  <si>
    <t xml:space="preserve">Banana</t>
  </si>
  <si>
    <t xml:space="preserve">lemon</t>
  </si>
  <si>
    <t xml:space="preserve">Lemon</t>
  </si>
  <si>
    <t xml:space="preserve">strawberry</t>
  </si>
  <si>
    <t xml:space="preserve">Strawberry</t>
  </si>
  <si>
    <t xml:space="preserve">Crate weight = 12 - 2 x stars (minimum 1): a 1-star item is 5 times as common as a 5-star one. Trading follows Restaurant City: equal stars trade instantly, otherwise the friend approves.</t>
  </si>
  <si>
    <t xml:space="preserve">25 dishes: 4 per cuisine plus a drink each. Drinks unlock at level 15, as in Restaurant City. Level 2 to 10 prices are calculated from Settings.</t>
  </si>
  <si>
    <t xml:space="preserve">Dish</t>
  </si>
  <si>
    <t xml:space="preserve">Cuisine</t>
  </si>
  <si>
    <t xml:space="preserve">Category</t>
  </si>
  <si>
    <t xml:space="preserve">Ingredient 1</t>
  </si>
  <si>
    <t xml:space="preserve">Ingredient 2</t>
  </si>
  <si>
    <t xml:space="preserve">Ingredient 3</t>
  </si>
  <si>
    <t xml:space="preserve">Base price (coins)</t>
  </si>
  <si>
    <t xml:space="preserve">Cook time (s)</t>
  </si>
  <si>
    <t xml:space="preserve">Unlocks at level</t>
  </si>
  <si>
    <t xml:space="preserve">Price Lv2</t>
  </si>
  <si>
    <t xml:space="preserve">Price Lv3</t>
  </si>
  <si>
    <t xml:space="preserve">Price Lv4</t>
  </si>
  <si>
    <t xml:space="preserve">Price Lv5</t>
  </si>
  <si>
    <t xml:space="preserve">Price Lv6</t>
  </si>
  <si>
    <t xml:space="preserve">Price Lv7</t>
  </si>
  <si>
    <t xml:space="preserve">Price Lv8</t>
  </si>
  <si>
    <t xml:space="preserve">Price Lv9</t>
  </si>
  <si>
    <t xml:space="preserve">Price Lv10</t>
  </si>
  <si>
    <t xml:space="preserve">Coins per cook-second (Lv1)</t>
  </si>
  <si>
    <t xml:space="preserve">XP per serve (Lv1)</t>
  </si>
  <si>
    <t xml:space="preserve">XP per serve (Lv10)</t>
  </si>
  <si>
    <t xml:space="preserve">Ingredient check</t>
  </si>
  <si>
    <t xml:space="preserve">nasi_lemak</t>
  </si>
  <si>
    <t xml:space="preserve">Nasi Lemak</t>
  </si>
  <si>
    <t xml:space="preserve">Malaysia</t>
  </si>
  <si>
    <t xml:space="preserve">Main</t>
  </si>
  <si>
    <t xml:space="preserve">Prototype price and cook time</t>
  </si>
  <si>
    <t xml:space="preserve">Yes</t>
  </si>
  <si>
    <t xml:space="preserve">roti_canai</t>
  </si>
  <si>
    <t xml:space="preserve">Roti Canai</t>
  </si>
  <si>
    <t xml:space="preserve">Starter</t>
  </si>
  <si>
    <t xml:space="preserve">satay</t>
  </si>
  <si>
    <t xml:space="preserve">Satay</t>
  </si>
  <si>
    <t xml:space="preserve">char_kway_teow</t>
  </si>
  <si>
    <t xml:space="preserve">Char Kway Teow</t>
  </si>
  <si>
    <t xml:space="preserve">teh_tarik</t>
  </si>
  <si>
    <t xml:space="preserve">Teh Tarik</t>
  </si>
  <si>
    <t xml:space="preserve">Drink</t>
  </si>
  <si>
    <t xml:space="preserve">No</t>
  </si>
  <si>
    <t xml:space="preserve">shoyu_ramen</t>
  </si>
  <si>
    <t xml:space="preserve">Shoyu Ramen</t>
  </si>
  <si>
    <t xml:space="preserve">Japan</t>
  </si>
  <si>
    <t xml:space="preserve">sushi</t>
  </si>
  <si>
    <t xml:space="preserve">Sushi</t>
  </si>
  <si>
    <t xml:space="preserve">tempura</t>
  </si>
  <si>
    <t xml:space="preserve">Tempura</t>
  </si>
  <si>
    <t xml:space="preserve">matcha_parfait</t>
  </si>
  <si>
    <t xml:space="preserve">Matcha Parfait</t>
  </si>
  <si>
    <t xml:space="preserve">Dessert</t>
  </si>
  <si>
    <t xml:space="preserve">matcha_latte</t>
  </si>
  <si>
    <t xml:space="preserve">Iced Matcha Latte</t>
  </si>
  <si>
    <t xml:space="preserve">bibimbap</t>
  </si>
  <si>
    <t xml:space="preserve">Bibimbap</t>
  </si>
  <si>
    <t xml:space="preserve">Korea</t>
  </si>
  <si>
    <t xml:space="preserve">tteokbokki</t>
  </si>
  <si>
    <t xml:space="preserve">Tteokbokki</t>
  </si>
  <si>
    <t xml:space="preserve">korean_fried_chicken</t>
  </si>
  <si>
    <t xml:space="preserve">Korean Fried Chicken</t>
  </si>
  <si>
    <t xml:space="preserve">kimchi_jjigae</t>
  </si>
  <si>
    <t xml:space="preserve">Kimchi Jjigae</t>
  </si>
  <si>
    <t xml:space="preserve">banana_milk</t>
  </si>
  <si>
    <t xml:space="preserve">Banana Milk</t>
  </si>
  <si>
    <t xml:space="preserve">margherita</t>
  </si>
  <si>
    <t xml:space="preserve">Margherita Pizza</t>
  </si>
  <si>
    <t xml:space="preserve">Italy</t>
  </si>
  <si>
    <t xml:space="preserve">carbonara</t>
  </si>
  <si>
    <t xml:space="preserve">Carbonara</t>
  </si>
  <si>
    <t xml:space="preserve">Halal-friendly version (no pork)</t>
  </si>
  <si>
    <t xml:space="preserve">mushroom_risotto</t>
  </si>
  <si>
    <t xml:space="preserve">Mushroom Risotto</t>
  </si>
  <si>
    <t xml:space="preserve">tiramisu</t>
  </si>
  <si>
    <t xml:space="preserve">Tiramisu</t>
  </si>
  <si>
    <t xml:space="preserve">limonata</t>
  </si>
  <si>
    <t xml:space="preserve">Limonata</t>
  </si>
  <si>
    <t xml:space="preserve">cheeseburger</t>
  </si>
  <si>
    <t xml:space="preserve">Cheeseburger</t>
  </si>
  <si>
    <t xml:space="preserve">USA</t>
  </si>
  <si>
    <t xml:space="preserve">mac_and_cheese</t>
  </si>
  <si>
    <t xml:space="preserve">Mac and Cheese</t>
  </si>
  <si>
    <t xml:space="preserve">pancakes</t>
  </si>
  <si>
    <t xml:space="preserve">Pancakes</t>
  </si>
  <si>
    <t xml:space="preserve">Level 1 dessert, so all 3 starting categories have a dish</t>
  </si>
  <si>
    <t xml:space="preserve">hot_dog</t>
  </si>
  <si>
    <t xml:space="preserve">Hot Dog</t>
  </si>
  <si>
    <t xml:space="preserve">Chicken sausage, halal-friendly</t>
  </si>
  <si>
    <t xml:space="preserve">strawberry_shake</t>
  </si>
  <si>
    <t xml:space="preserve">Strawberry Milkshake</t>
  </si>
  <si>
    <t xml:space="preserve">Each ingredient needed to take one dish to max level</t>
  </si>
  <si>
    <t xml:space="preserve">of each of its 3 ingredients</t>
  </si>
  <si>
    <t xml:space="preserve">Average base price, level 1 dishes</t>
  </si>
  <si>
    <t xml:space="preserve">XP for upgrading a dish to level N = base + per level x N (see Settings).</t>
  </si>
  <si>
    <t xml:space="preserve">Furniture, decor and floors</t>
  </si>
  <si>
    <t xml:space="preserve">38 items, including Restaurant City's toilets, drinks counter and fun machines. About 120 are planned for launch.</t>
  </si>
  <si>
    <t xml:space="preserve">Item</t>
  </si>
  <si>
    <t xml:space="preserve">Cost (coins)</t>
  </si>
  <si>
    <t xml:space="preserve">Ambience points</t>
  </si>
  <si>
    <t xml:space="preserve">Sell-back (coins)</t>
  </si>
  <si>
    <t xml:space="preserve">Coins per ambience point</t>
  </si>
  <si>
    <t xml:space="preserve">Themed set</t>
  </si>
  <si>
    <t xml:space="preserve">table</t>
  </si>
  <si>
    <t xml:space="preserve">Table and chair</t>
  </si>
  <si>
    <t xml:space="preserve">Function</t>
  </si>
  <si>
    <t xml:space="preserve">Seats one guest</t>
  </si>
  <si>
    <t xml:space="preserve">round_table</t>
  </si>
  <si>
    <t xml:space="preserve">Round marble table</t>
  </si>
  <si>
    <t xml:space="preserve">Kopitiam style; seats one guest</t>
  </si>
  <si>
    <t xml:space="preserve">stove</t>
  </si>
  <si>
    <t xml:space="preserve">Stove</t>
  </si>
  <si>
    <t xml:space="preserve">One chef cooks here</t>
  </si>
  <si>
    <t xml:space="preserve">serving_counter</t>
  </si>
  <si>
    <t xml:space="preserve">Serving counter</t>
  </si>
  <si>
    <t xml:space="preserve">Finished dishes wait here</t>
  </si>
  <si>
    <t xml:space="preserve">wok_burner</t>
  </si>
  <si>
    <t xml:space="preserve">Wok burner</t>
  </si>
  <si>
    <t xml:space="preserve">A faster stove</t>
  </si>
  <si>
    <t xml:space="preserve">booth</t>
  </si>
  <si>
    <t xml:space="preserve">Booth seat</t>
  </si>
  <si>
    <t xml:space="preserve">toilet</t>
  </si>
  <si>
    <t xml:space="preserve">Toilet</t>
  </si>
  <si>
    <t xml:space="preserve">Needed from level 8; cleaners keep it clean</t>
  </si>
  <si>
    <t xml:space="preserve">drinks_counter</t>
  </si>
  <si>
    <t xml:space="preserve">Drinks counter</t>
  </si>
  <si>
    <t xml:space="preserve">Needed to serve drinks</t>
  </si>
  <si>
    <t xml:space="preserve">jukebox</t>
  </si>
  <si>
    <t xml:space="preserve">Jukebox</t>
  </si>
  <si>
    <t xml:space="preserve">Fun</t>
  </si>
  <si>
    <t xml:space="preserve">Earns coins; needs repair</t>
  </si>
  <si>
    <t xml:space="preserve">arcade</t>
  </si>
  <si>
    <t xml:space="preserve">Arcade machine</t>
  </si>
  <si>
    <t xml:space="preserve">Entertains waiting guests; earns coins; needs repair</t>
  </si>
  <si>
    <t xml:space="preserve">potted_palm</t>
  </si>
  <si>
    <t xml:space="preserve">Potted palm</t>
  </si>
  <si>
    <t xml:space="preserve">Decor</t>
  </si>
  <si>
    <t xml:space="preserve">wall_clock</t>
  </si>
  <si>
    <t xml:space="preserve">Wall clock</t>
  </si>
  <si>
    <t xml:space="preserve">lantern</t>
  </si>
  <si>
    <t xml:space="preserve">Lantern</t>
  </si>
  <si>
    <t xml:space="preserve">chalkboard_menu</t>
  </si>
  <si>
    <t xml:space="preserve">Chalkboard menu</t>
  </si>
  <si>
    <t xml:space="preserve">flower_vase</t>
  </si>
  <si>
    <t xml:space="preserve">Flower vase</t>
  </si>
  <si>
    <t xml:space="preserve">ceiling_fan</t>
  </si>
  <si>
    <t xml:space="preserve">Ceiling fan</t>
  </si>
  <si>
    <t xml:space="preserve">fountain</t>
  </si>
  <si>
    <t xml:space="preserve">Fountain</t>
  </si>
  <si>
    <t xml:space="preserve">woven_rug</t>
  </si>
  <si>
    <t xml:space="preserve">Woven rug</t>
  </si>
  <si>
    <t xml:space="preserve">cookbook_shelf</t>
  </si>
  <si>
    <t xml:space="preserve">Cookbook shelf</t>
  </si>
  <si>
    <t xml:space="preserve">koi_pond</t>
  </si>
  <si>
    <t xml:space="preserve">Koi pond</t>
  </si>
  <si>
    <t xml:space="preserve">kopitiam_poster</t>
  </si>
  <si>
    <t xml:space="preserve">Vintage kopitiam poster</t>
  </si>
  <si>
    <t xml:space="preserve">bunga_raya_planter</t>
  </si>
  <si>
    <t xml:space="preserve">Bunga raya planter</t>
  </si>
  <si>
    <t xml:space="preserve">batik_wall_art</t>
  </si>
  <si>
    <t xml:space="preserve">Batik wall hanging</t>
  </si>
  <si>
    <t xml:space="preserve">songket_runner</t>
  </si>
  <si>
    <t xml:space="preserve">Songket table runner</t>
  </si>
  <si>
    <t xml:space="preserve">wau_kite</t>
  </si>
  <si>
    <t xml:space="preserve">Wau kite wall piece</t>
  </si>
  <si>
    <t xml:space="preserve">rattan_lamp</t>
  </si>
  <si>
    <t xml:space="preserve">Rattan lamp</t>
  </si>
  <si>
    <t xml:space="preserve">hawker_sign</t>
  </si>
  <si>
    <t xml:space="preserve">Hawker stall sign</t>
  </si>
  <si>
    <t xml:space="preserve">tiffin_stand</t>
  </si>
  <si>
    <t xml:space="preserve">Tiffin carrier stand</t>
  </si>
  <si>
    <t xml:space="preserve">kuih_display</t>
  </si>
  <si>
    <t xml:space="preserve">Kuih display case</t>
  </si>
  <si>
    <t xml:space="preserve">peranakan_screen</t>
  </si>
  <si>
    <t xml:space="preserve">Peranakan tile screen</t>
  </si>
  <si>
    <t xml:space="preserve">floor_mint</t>
  </si>
  <si>
    <t xml:space="preserve">Mint tile floor</t>
  </si>
  <si>
    <t xml:space="preserve">Floor</t>
  </si>
  <si>
    <t xml:space="preserve">Default floor</t>
  </si>
  <si>
    <t xml:space="preserve">floor_oak</t>
  </si>
  <si>
    <t xml:space="preserve">Oak plank floor</t>
  </si>
  <si>
    <t xml:space="preserve">floor_terrazzo</t>
  </si>
  <si>
    <t xml:space="preserve">Terrazzo floor</t>
  </si>
  <si>
    <t xml:space="preserve">floor_sunset</t>
  </si>
  <si>
    <t xml:space="preserve">Sunset tile floor</t>
  </si>
  <si>
    <t xml:space="preserve">wall_cream</t>
  </si>
  <si>
    <t xml:space="preserve">Cream plaster wall</t>
  </si>
  <si>
    <t xml:space="preserve">Wallpaper</t>
  </si>
  <si>
    <t xml:space="preserve">Default wall</t>
  </si>
  <si>
    <t xml:space="preserve">wall_sky</t>
  </si>
  <si>
    <t xml:space="preserve">Sky blue wall</t>
  </si>
  <si>
    <t xml:space="preserve">wall_bamboo</t>
  </si>
  <si>
    <t xml:space="preserve">Bamboo panel wall</t>
  </si>
  <si>
    <t xml:space="preserve">wall_peranakan</t>
  </si>
  <si>
    <t xml:space="preserve">Peranakan tile wall</t>
  </si>
  <si>
    <t xml:space="preserve">Indoor space grows with level, and outdoor terraces open from level 20, as in Restaurant City. Our costs use our own coin scale.</t>
  </si>
  <si>
    <t xml:space="preserve">Expansion</t>
  </si>
  <si>
    <t xml:space="preserve">Type</t>
  </si>
  <si>
    <t xml:space="preserve">Size (tiles)</t>
  </si>
  <si>
    <t xml:space="preserve">indoor_1</t>
  </si>
  <si>
    <t xml:space="preserve">First expansion</t>
  </si>
  <si>
    <t xml:space="preserve">Indoor</t>
  </si>
  <si>
    <t xml:space="preserve">10 x 12</t>
  </si>
  <si>
    <t xml:space="preserve">The room grew from 7 x 7 as you levelled</t>
  </si>
  <si>
    <t xml:space="preserve">indoor_2</t>
  </si>
  <si>
    <t xml:space="preserve">Second expansion</t>
  </si>
  <si>
    <t xml:space="preserve">12 x 14</t>
  </si>
  <si>
    <t xml:space="preserve">indoor_3</t>
  </si>
  <si>
    <t xml:space="preserve">Third expansion</t>
  </si>
  <si>
    <t xml:space="preserve">14 x 16</t>
  </si>
  <si>
    <t xml:space="preserve">terrace_1</t>
  </si>
  <si>
    <t xml:space="preserve">Outdoor terrace</t>
  </si>
  <si>
    <t xml:space="preserve">Terrace</t>
  </si>
  <si>
    <t xml:space="preserve">6 x 6</t>
  </si>
  <si>
    <t xml:space="preserve">6 x 6 at level 20 for 5,000 coins</t>
  </si>
  <si>
    <t xml:space="preserve">terrace_2</t>
  </si>
  <si>
    <t xml:space="preserve">Terrace upgrade</t>
  </si>
  <si>
    <t xml:space="preserve">8 x 8</t>
  </si>
  <si>
    <t xml:space="preserve">8 x 8 at level 25 for 15,000</t>
  </si>
  <si>
    <t xml:space="preserve">terrace_3</t>
  </si>
  <si>
    <t xml:space="preserve">10 x 10</t>
  </si>
  <si>
    <t xml:space="preserve">10 x 10 at level 30 for 32,000</t>
  </si>
  <si>
    <t xml:space="preserve">terrace_4</t>
  </si>
  <si>
    <t xml:space="preserve">12 x 12</t>
  </si>
  <si>
    <t xml:space="preserve">12 x 12 at level 35 for 70,000</t>
  </si>
  <si>
    <t xml:space="preserve">terrace_5</t>
  </si>
  <si>
    <t xml:space="preserve">14 x 14</t>
  </si>
  <si>
    <t xml:space="preserve">14 x 14 at level 40 for 150,000</t>
  </si>
  <si>
    <t xml:space="preserve">terrace_6</t>
  </si>
  <si>
    <t xml:space="preserve">16 x 16</t>
  </si>
  <si>
    <t xml:space="preserve">16 x 16 at level 45 for 310,000</t>
  </si>
  <si>
    <t xml:space="preserve">terrace_7</t>
  </si>
  <si>
    <t xml:space="preserve">18 x 18</t>
  </si>
  <si>
    <t xml:space="preserve">18 x 18 at level 50 for 550,000</t>
  </si>
  <si>
    <t xml:space="preserve">second_city</t>
  </si>
  <si>
    <t xml:space="preserve">Second restaurant in another city</t>
  </si>
  <si>
    <t xml:space="preserve">New restaurant</t>
  </si>
  <si>
    <t xml:space="preserve">8 x 10</t>
  </si>
  <si>
    <t xml:space="preserve">Our upgrade: not in Restaurant City</t>
  </si>
  <si>
    <t xml:space="preserve">Levels 1 to 65, as in Restaurant City. Calculated from Settings, Dishes, Furniture and Expansions.</t>
  </si>
  <si>
    <t xml:space="preserve">Level</t>
  </si>
  <si>
    <t xml:space="preserve">XP to next level</t>
  </si>
  <si>
    <t xml:space="preserve">Total XP to reach</t>
  </si>
  <si>
    <t xml:space="preserve">Coins reward on reaching</t>
  </si>
  <si>
    <t xml:space="preserve">Menu categories</t>
  </si>
  <si>
    <t xml:space="preserve">Dishes per category</t>
  </si>
  <si>
    <t xml:space="preserve">Menu slots</t>
  </si>
  <si>
    <t xml:space="preserve">Staff slots</t>
  </si>
  <si>
    <t xml:space="preserve">Garden plots</t>
  </si>
  <si>
    <t xml:space="preserve">Dishes unlocked</t>
  </si>
  <si>
    <t xml:space="preserve">Items unlocked</t>
  </si>
  <si>
    <t xml:space="preserve">Expansions unlocked</t>
  </si>
  <si>
    <t xml:space="preserve">Guests to serve for next level (Lv1 dishes)</t>
  </si>
  <si>
    <t xml:space="preserve">Roles follow Restaurant City: chef, waiter and cleaner. Energy and break settings are on the Settings sheet.</t>
  </si>
  <si>
    <t xml:space="preserve">Role</t>
  </si>
  <si>
    <t xml:space="preserve">What they do</t>
  </si>
  <si>
    <t xml:space="preserve">Chef</t>
  </si>
  <si>
    <t xml:space="preserve">Cooks at one stove. Each stove takes one chef.</t>
  </si>
  <si>
    <t xml:space="preserve">Waiter</t>
  </si>
  <si>
    <t xml:space="preserve">Carries finished dishes from stove to table.</t>
  </si>
  <si>
    <t xml:space="preserve">Cleaner</t>
  </si>
  <si>
    <t xml:space="preserve">Clears trash and keeps toilets clean so guests stay happy.</t>
  </si>
  <si>
    <t xml:space="preserve">Hire costs</t>
  </si>
  <si>
    <t xml:space="preserve">Team size before hiring</t>
  </si>
  <si>
    <t xml:space="preserve">Team size after hiring</t>
  </si>
  <si>
    <t xml:space="preserve">Hire cost (coins)</t>
  </si>
  <si>
    <t xml:space="preserve">Total spent on hires (coins)</t>
  </si>
  <si>
    <t xml:space="preserve">Staff slots by level are on the Levels sheet (up to 9, as in Restaurant City).</t>
  </si>
  <si>
    <t xml:space="preserve">Balance check: guests and coins per minute</t>
  </si>
  <si>
    <t xml:space="preserve">Rough estimate for tuning. It assumes enough tables, chefs and waiters to keep up.</t>
  </si>
  <si>
    <t xml:space="preserve">Assumed ambience points</t>
  </si>
  <si>
    <t xml:space="preserve">Tip at that ambience</t>
  </si>
  <si>
    <t xml:space="preserve">Average dish price (level 1 dishes)</t>
  </si>
  <si>
    <t xml:space="preserve">Guests arriving per minute</t>
  </si>
  <si>
    <t xml:space="preserve">Star rating  \  Restaurant level</t>
  </si>
  <si>
    <t xml:space="preserve">Coins per minute (guests x average price x tip)</t>
  </si>
  <si>
    <t xml:space="preserve">Compare with expansion and furniture costs. A purchase that takes more than 2 to 3 sessions to afford may feel slow.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</si>
</sst>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0.0%"/>
    <numFmt numFmtId="168" formatCode="0.00"/>
    <numFmt numFmtId="169" formatCode="0.0"/>
    <numFmt numFmtId="170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2A1F3D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E9C2"/>
        <bgColor rgb="FFFFF7D6"/>
      </patternFill>
    </fill>
    <fill>
      <patternFill patternType="solid">
        <fgColor rgb="FF2A1F3D"/>
        <bgColor rgb="FF333300"/>
      </patternFill>
    </fill>
    <fill>
      <patternFill patternType="solid">
        <fgColor rgb="FFEAF2F8"/>
        <bgColor rgb="FFFFFFFF"/>
      </patternFill>
    </fill>
    <fill>
      <patternFill patternType="solid">
        <fgColor rgb="FFFFF7D6"/>
        <bgColor rgb="FFFFE9C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C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1F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6" t="s">
        <v>3</v>
      </c>
      <c r="B5" s="7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</row>
    <row r="7" customFormat="false" ht="15" hidden="false" customHeight="false" outlineLevel="0" collapsed="false">
      <c r="A7" s="6" t="s">
        <v>7</v>
      </c>
      <c r="B7" s="7" t="s">
        <v>8</v>
      </c>
    </row>
    <row r="8" customFormat="false" ht="15" hidden="false" customHeight="false" outlineLevel="0" collapsed="false">
      <c r="A8" s="6" t="s">
        <v>9</v>
      </c>
      <c r="B8" s="7" t="s">
        <v>10</v>
      </c>
    </row>
    <row r="9" customFormat="false" ht="15" hidden="false" customHeight="false" outlineLevel="0" collapsed="false">
      <c r="A9" s="6" t="s">
        <v>11</v>
      </c>
      <c r="B9" s="7" t="s">
        <v>12</v>
      </c>
    </row>
    <row r="10" customFormat="false" ht="15" hidden="false" customHeight="false" outlineLevel="0" collapsed="false">
      <c r="A10" s="4" t="s">
        <v>13</v>
      </c>
      <c r="B10" s="5"/>
    </row>
    <row r="11" customFormat="false" ht="15" hidden="false" customHeight="false" outlineLevel="0" collapsed="false">
      <c r="A11" s="6" t="s">
        <v>14</v>
      </c>
      <c r="B11" s="7" t="s">
        <v>15</v>
      </c>
    </row>
    <row r="12" customFormat="false" ht="26.85" hidden="false" customHeight="false" outlineLevel="0" collapsed="false">
      <c r="A12" s="6" t="s">
        <v>16</v>
      </c>
      <c r="B12" s="7" t="s">
        <v>17</v>
      </c>
    </row>
    <row r="13" customFormat="false" ht="15" hidden="false" customHeight="false" outlineLevel="0" collapsed="false">
      <c r="A13" s="6" t="s">
        <v>18</v>
      </c>
      <c r="B13" s="7" t="s">
        <v>19</v>
      </c>
    </row>
    <row r="14" customFormat="false" ht="26.85" hidden="false" customHeight="false" outlineLevel="0" collapsed="false">
      <c r="A14" s="6" t="s">
        <v>20</v>
      </c>
      <c r="B14" s="7" t="s">
        <v>21</v>
      </c>
    </row>
    <row r="15" customFormat="false" ht="26.85" hidden="false" customHeight="false" outlineLevel="0" collapsed="false">
      <c r="A15" s="6" t="s">
        <v>22</v>
      </c>
      <c r="B15" s="7" t="s">
        <v>23</v>
      </c>
    </row>
    <row r="16" customFormat="false" ht="15" hidden="false" customHeight="false" outlineLevel="0" collapsed="false">
      <c r="A16" s="6" t="s">
        <v>24</v>
      </c>
      <c r="B16" s="7" t="s">
        <v>25</v>
      </c>
    </row>
    <row r="17" customFormat="false" ht="15" hidden="false" customHeight="false" outlineLevel="0" collapsed="false">
      <c r="A17" s="4" t="s">
        <v>26</v>
      </c>
      <c r="B17" s="5"/>
    </row>
    <row r="18" customFormat="false" ht="15" hidden="false" customHeight="false" outlineLevel="0" collapsed="false">
      <c r="A18" s="6" t="s">
        <v>27</v>
      </c>
      <c r="B18" s="7" t="s">
        <v>28</v>
      </c>
    </row>
    <row r="19" customFormat="false" ht="15" hidden="false" customHeight="false" outlineLevel="0" collapsed="false">
      <c r="A19" s="6" t="s">
        <v>29</v>
      </c>
      <c r="B19" s="7" t="s">
        <v>30</v>
      </c>
    </row>
    <row r="20" customFormat="false" ht="15" hidden="false" customHeight="false" outlineLevel="0" collapsed="false">
      <c r="A20" s="6" t="s">
        <v>31</v>
      </c>
      <c r="B20" s="7" t="s">
        <v>32</v>
      </c>
    </row>
    <row r="21" customFormat="false" ht="15" hidden="false" customHeight="false" outlineLevel="0" collapsed="false">
      <c r="A21" s="6" t="s">
        <v>33</v>
      </c>
      <c r="B21" s="7" t="s">
        <v>34</v>
      </c>
    </row>
    <row r="22" customFormat="false" ht="15" hidden="false" customHeight="false" outlineLevel="0" collapsed="false">
      <c r="A22" s="6" t="s">
        <v>35</v>
      </c>
      <c r="B22" s="7" t="s">
        <v>36</v>
      </c>
    </row>
    <row r="23" customFormat="false" ht="15" hidden="false" customHeight="false" outlineLevel="0" collapsed="false">
      <c r="A23" s="6" t="s">
        <v>37</v>
      </c>
      <c r="B23" s="7" t="s">
        <v>38</v>
      </c>
    </row>
    <row r="24" customFormat="false" ht="15" hidden="false" customHeight="false" outlineLevel="0" collapsed="false">
      <c r="A24" s="6" t="s">
        <v>20</v>
      </c>
      <c r="B24" s="7" t="s">
        <v>39</v>
      </c>
    </row>
    <row r="25" customFormat="false" ht="15" hidden="false" customHeight="false" outlineLevel="0" collapsed="false">
      <c r="A25" s="6" t="s">
        <v>40</v>
      </c>
      <c r="B25" s="7" t="s">
        <v>41</v>
      </c>
    </row>
    <row r="26" customFormat="false" ht="15" hidden="false" customHeight="false" outlineLevel="0" collapsed="false">
      <c r="A26" s="6" t="s">
        <v>42</v>
      </c>
      <c r="B26" s="7" t="s">
        <v>43</v>
      </c>
    </row>
    <row r="27" customFormat="false" ht="15" hidden="false" customHeight="false" outlineLevel="0" collapsed="false">
      <c r="A27" s="4" t="s">
        <v>44</v>
      </c>
      <c r="B27" s="5"/>
    </row>
    <row r="28" customFormat="false" ht="15" hidden="false" customHeight="false" outlineLevel="0" collapsed="false">
      <c r="A28" s="6" t="s">
        <v>45</v>
      </c>
      <c r="B28" s="7" t="s">
        <v>46</v>
      </c>
    </row>
    <row r="29" customFormat="false" ht="15" hidden="false" customHeight="false" outlineLevel="0" collapsed="false">
      <c r="A29" s="6" t="s">
        <v>47</v>
      </c>
      <c r="B29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49</v>
      </c>
      <c r="B1" s="2"/>
      <c r="C1" s="2"/>
    </row>
    <row r="2" customFormat="false" ht="15" hidden="false" customHeight="false" outlineLevel="0" collapsed="false">
      <c r="A2" s="3" t="s">
        <v>50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31.5" hidden="false" customHeight="true" outlineLevel="0" collapsed="false">
      <c r="A4" s="8" t="s">
        <v>51</v>
      </c>
      <c r="B4" s="8" t="s">
        <v>52</v>
      </c>
      <c r="C4" s="8" t="s">
        <v>53</v>
      </c>
    </row>
    <row r="5" customFormat="false" ht="15" hidden="false" customHeight="false" outlineLevel="0" collapsed="false">
      <c r="A5" s="4" t="s">
        <v>54</v>
      </c>
      <c r="B5" s="5"/>
      <c r="C5" s="5"/>
    </row>
    <row r="6" customFormat="false" ht="15" hidden="false" customHeight="false" outlineLevel="0" collapsed="false">
      <c r="A6" s="2" t="s">
        <v>33</v>
      </c>
      <c r="B6" s="9" t="n">
        <f aca="false">COUNTIF(Dishes!$Y$5:$Y$29,"Yes")</f>
        <v>7</v>
      </c>
      <c r="C6" s="3" t="s">
        <v>55</v>
      </c>
    </row>
    <row r="7" customFormat="false" ht="15" hidden="false" customHeight="false" outlineLevel="0" collapsed="false">
      <c r="A7" s="2" t="s">
        <v>31</v>
      </c>
      <c r="B7" s="9" t="n">
        <f aca="false">COUNTIF(Ingredients!$I$5:$I$42,"Yes")</f>
        <v>18</v>
      </c>
      <c r="C7" s="3" t="s">
        <v>56</v>
      </c>
    </row>
    <row r="8" customFormat="false" ht="15" hidden="false" customHeight="false" outlineLevel="0" collapsed="false">
      <c r="A8" s="2" t="s">
        <v>57</v>
      </c>
      <c r="B8" s="9" t="n">
        <f aca="false">COUNTIFS(Ingredients!$C$5:$C$42,"Garden",Ingredients!$I$5:$I$42,"Yes")</f>
        <v>3</v>
      </c>
      <c r="C8" s="3"/>
    </row>
    <row r="9" customFormat="false" ht="15" hidden="false" customHeight="false" outlineLevel="0" collapsed="false">
      <c r="A9" s="2" t="s">
        <v>58</v>
      </c>
      <c r="B9" s="9" t="n">
        <f aca="false">Settings!$B$102</f>
        <v>10</v>
      </c>
      <c r="C9" s="3" t="s">
        <v>59</v>
      </c>
    </row>
    <row r="10" customFormat="false" ht="15" hidden="false" customHeight="false" outlineLevel="0" collapsed="false">
      <c r="A10" s="2" t="s">
        <v>60</v>
      </c>
      <c r="B10" s="9" t="n">
        <f aca="false">INDEX(Levels!$G$5:$G$69,Settings!$B$102)</f>
        <v>6</v>
      </c>
      <c r="C10" s="3"/>
    </row>
    <row r="11" customFormat="false" ht="15" hidden="false" customHeight="false" outlineLevel="0" collapsed="false">
      <c r="A11" s="2" t="s">
        <v>61</v>
      </c>
      <c r="B11" s="9" t="n">
        <f aca="false">INDEX(Levels!$H$5:$H$69,Settings!$B$102)</f>
        <v>5</v>
      </c>
      <c r="C11" s="3"/>
    </row>
    <row r="12" customFormat="false" ht="15" hidden="false" customHeight="false" outlineLevel="0" collapsed="false">
      <c r="A12" s="2" t="s">
        <v>62</v>
      </c>
      <c r="B12" s="9" t="n">
        <f aca="false">INDEX(Levels!$I$5:$I$69,Settings!$B$102)</f>
        <v>3</v>
      </c>
      <c r="C12" s="3"/>
    </row>
    <row r="13" customFormat="false" ht="15" hidden="false" customHeight="false" outlineLevel="0" collapsed="false">
      <c r="A13" s="2" t="s">
        <v>63</v>
      </c>
      <c r="B13" s="9" t="n">
        <f aca="false">COUNTIF(Expansions!$H$5:$H$15,"Yes")</f>
        <v>1</v>
      </c>
      <c r="C13" s="3"/>
    </row>
    <row r="14" customFormat="false" ht="15" hidden="false" customHeight="false" outlineLevel="0" collapsed="false">
      <c r="A14" s="2" t="s">
        <v>64</v>
      </c>
      <c r="B14" s="9" t="n">
        <f aca="false">COUNTIF(Staff!$E$5:$E$7,"Yes")</f>
        <v>2</v>
      </c>
      <c r="C14" s="3" t="s">
        <v>65</v>
      </c>
    </row>
    <row r="15" customFormat="false" ht="15" hidden="false" customHeight="false" outlineLevel="0" collapsed="false">
      <c r="A15" s="2" t="s">
        <v>66</v>
      </c>
      <c r="B15" s="10" t="n">
        <v>1</v>
      </c>
      <c r="C15" s="3" t="s">
        <v>67</v>
      </c>
    </row>
    <row r="16" customFormat="false" ht="15" hidden="false" customHeight="false" outlineLevel="0" collapsed="false">
      <c r="A16" s="2" t="s">
        <v>68</v>
      </c>
      <c r="B16" s="10" t="n">
        <v>15</v>
      </c>
      <c r="C16" s="3" t="s">
        <v>69</v>
      </c>
    </row>
    <row r="17" customFormat="false" ht="15" hidden="false" customHeight="false" outlineLevel="0" collapsed="false">
      <c r="A17" s="2" t="s">
        <v>70</v>
      </c>
      <c r="B17" s="10" t="n">
        <v>10</v>
      </c>
      <c r="C17" s="3"/>
    </row>
    <row r="18" customFormat="false" ht="15" hidden="false" customHeight="false" outlineLevel="0" collapsed="false">
      <c r="A18" s="2" t="s">
        <v>71</v>
      </c>
      <c r="B18" s="10" t="n">
        <v>1</v>
      </c>
      <c r="C18" s="3" t="s">
        <v>72</v>
      </c>
    </row>
    <row r="19" customFormat="false" ht="15" hidden="false" customHeight="false" outlineLevel="0" collapsed="false">
      <c r="A19" s="4" t="s">
        <v>73</v>
      </c>
      <c r="B19" s="5"/>
      <c r="C19" s="5"/>
    </row>
    <row r="20" customFormat="false" ht="15" hidden="false" customHeight="false" outlineLevel="0" collapsed="false">
      <c r="A20" s="2" t="s">
        <v>74</v>
      </c>
      <c r="B20" s="9" t="n">
        <f aca="false">COUNTIFS(Furniture!$C$5:$C$42,"Function",Furniture!$L$5:$L$42,"Yes")</f>
        <v>6</v>
      </c>
      <c r="C20" s="3"/>
    </row>
    <row r="21" customFormat="false" ht="15" hidden="false" customHeight="false" outlineLevel="0" collapsed="false">
      <c r="A21" s="2" t="s">
        <v>75</v>
      </c>
      <c r="B21" s="9" t="n">
        <f aca="false">COUNTIFS(Furniture!$C$5:$C$42,"Fun",Furniture!$L$5:$L$42,"Yes")</f>
        <v>0</v>
      </c>
      <c r="C21" s="3" t="s">
        <v>76</v>
      </c>
    </row>
    <row r="22" customFormat="false" ht="15" hidden="false" customHeight="false" outlineLevel="0" collapsed="false">
      <c r="A22" s="2" t="s">
        <v>77</v>
      </c>
      <c r="B22" s="9" t="n">
        <f aca="false">COUNTIFS(Furniture!$C$5:$C$42,"Decor",Furniture!$L$5:$L$42,"Yes")</f>
        <v>20</v>
      </c>
      <c r="C22" s="3"/>
    </row>
    <row r="23" customFormat="false" ht="15" hidden="false" customHeight="false" outlineLevel="0" collapsed="false">
      <c r="A23" s="2" t="s">
        <v>78</v>
      </c>
      <c r="B23" s="9" t="n">
        <f aca="false">COUNTIFS(Furniture!$K$5:$K$42,"Malaysia",Furniture!$L$5:$L$42,"Yes")</f>
        <v>10</v>
      </c>
      <c r="C23" s="3"/>
    </row>
    <row r="24" customFormat="false" ht="15" hidden="false" customHeight="false" outlineLevel="0" collapsed="false">
      <c r="A24" s="2" t="s">
        <v>79</v>
      </c>
      <c r="B24" s="9" t="n">
        <f aca="false">COUNTIFS(Furniture!$C$5:$C$42,"Floor",Furniture!$L$5:$L$42,"Yes")</f>
        <v>4</v>
      </c>
      <c r="C24" s="3"/>
    </row>
    <row r="25" customFormat="false" ht="15" hidden="false" customHeight="false" outlineLevel="0" collapsed="false">
      <c r="A25" s="2" t="s">
        <v>80</v>
      </c>
      <c r="B25" s="9" t="n">
        <f aca="false">COUNTIFS(Furniture!$C$5:$C$42,"Wallpaper",Furniture!$L$5:$L$42,"Yes")</f>
        <v>4</v>
      </c>
      <c r="C25" s="3"/>
    </row>
    <row r="26" customFormat="false" ht="15" hidden="false" customHeight="false" outlineLevel="0" collapsed="false">
      <c r="A26" s="2" t="s">
        <v>81</v>
      </c>
      <c r="B26" s="10" t="n">
        <v>30</v>
      </c>
      <c r="C26" s="3"/>
    </row>
    <row r="27" customFormat="false" ht="15" hidden="false" customHeight="false" outlineLevel="0" collapsed="false">
      <c r="A27" s="2" t="s">
        <v>82</v>
      </c>
      <c r="B27" s="10" t="n">
        <v>6</v>
      </c>
      <c r="C27" s="3"/>
    </row>
    <row r="28" customFormat="false" ht="15" hidden="false" customHeight="false" outlineLevel="0" collapsed="false">
      <c r="A28" s="2" t="s">
        <v>83</v>
      </c>
      <c r="B28" s="10" t="n">
        <v>20</v>
      </c>
      <c r="C28" s="3"/>
    </row>
    <row r="29" customFormat="false" ht="15" hidden="false" customHeight="false" outlineLevel="0" collapsed="false">
      <c r="A29" s="2" t="s">
        <v>84</v>
      </c>
      <c r="B29" s="10" t="n">
        <v>8</v>
      </c>
      <c r="C29" s="3"/>
    </row>
    <row r="30" customFormat="false" ht="15" hidden="false" customHeight="false" outlineLevel="0" collapsed="false">
      <c r="A30" s="6" t="s">
        <v>85</v>
      </c>
      <c r="B30" s="11" t="n">
        <f aca="false">B20+B21+B22+B24+B25+2*B6+B7+B26+B28</f>
        <v>116</v>
      </c>
      <c r="C30" s="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52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87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88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1.5" hidden="false" customHeight="true" outlineLevel="0" collapsed="false">
      <c r="A4" s="8" t="s">
        <v>89</v>
      </c>
      <c r="B4" s="8" t="s">
        <v>90</v>
      </c>
      <c r="C4" s="8" t="s">
        <v>91</v>
      </c>
      <c r="D4" s="8" t="s">
        <v>92</v>
      </c>
      <c r="E4" s="8" t="s">
        <v>53</v>
      </c>
      <c r="F4" s="8" t="s">
        <v>93</v>
      </c>
    </row>
    <row r="5" customFormat="false" ht="15" hidden="false" customHeight="false" outlineLevel="0" collapsed="false">
      <c r="A5" s="4" t="s">
        <v>94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12" t="s">
        <v>95</v>
      </c>
      <c r="B6" s="10" t="n">
        <v>400</v>
      </c>
      <c r="C6" s="12" t="s">
        <v>96</v>
      </c>
      <c r="D6" s="12" t="s">
        <v>97</v>
      </c>
      <c r="E6" s="13"/>
      <c r="F6" s="14"/>
    </row>
    <row r="7" customFormat="false" ht="15" hidden="false" customHeight="false" outlineLevel="0" collapsed="false">
      <c r="A7" s="12" t="s">
        <v>98</v>
      </c>
      <c r="B7" s="10" t="n">
        <v>3</v>
      </c>
      <c r="C7" s="12" t="s">
        <v>99</v>
      </c>
      <c r="D7" s="12" t="s">
        <v>97</v>
      </c>
      <c r="E7" s="13"/>
      <c r="F7" s="14" t="s">
        <v>100</v>
      </c>
    </row>
    <row r="8" customFormat="false" ht="15" hidden="false" customHeight="false" outlineLevel="0" collapsed="false">
      <c r="A8" s="12" t="s">
        <v>101</v>
      </c>
      <c r="B8" s="10" t="n">
        <v>4</v>
      </c>
      <c r="C8" s="12" t="s">
        <v>102</v>
      </c>
      <c r="D8" s="12" t="s">
        <v>97</v>
      </c>
      <c r="E8" s="13"/>
      <c r="F8" s="14"/>
    </row>
    <row r="9" customFormat="false" ht="15" hidden="false" customHeight="false" outlineLevel="0" collapsed="false">
      <c r="A9" s="12" t="s">
        <v>103</v>
      </c>
      <c r="B9" s="10" t="n">
        <v>2</v>
      </c>
      <c r="C9" s="12" t="s">
        <v>104</v>
      </c>
      <c r="D9" s="12" t="s">
        <v>97</v>
      </c>
      <c r="E9" s="13" t="s">
        <v>105</v>
      </c>
      <c r="F9" s="14" t="s">
        <v>106</v>
      </c>
    </row>
    <row r="10" customFormat="false" ht="15" hidden="false" customHeight="false" outlineLevel="0" collapsed="false">
      <c r="A10" s="4" t="s">
        <v>107</v>
      </c>
      <c r="B10" s="5"/>
      <c r="C10" s="5"/>
      <c r="D10" s="5"/>
      <c r="E10" s="5"/>
      <c r="F10" s="5"/>
    </row>
    <row r="11" customFormat="false" ht="15" hidden="false" customHeight="false" outlineLevel="0" collapsed="false">
      <c r="A11" s="12" t="s">
        <v>108</v>
      </c>
      <c r="B11" s="10" t="n">
        <v>80</v>
      </c>
      <c r="C11" s="12" t="s">
        <v>109</v>
      </c>
      <c r="D11" s="12" t="s">
        <v>97</v>
      </c>
      <c r="E11" s="13" t="s">
        <v>110</v>
      </c>
      <c r="F11" s="14" t="s">
        <v>111</v>
      </c>
    </row>
    <row r="12" customFormat="false" ht="15" hidden="false" customHeight="false" outlineLevel="0" collapsed="false">
      <c r="A12" s="12" t="s">
        <v>112</v>
      </c>
      <c r="B12" s="10" t="n">
        <v>60</v>
      </c>
      <c r="C12" s="12" t="s">
        <v>109</v>
      </c>
      <c r="D12" s="12" t="s">
        <v>97</v>
      </c>
      <c r="E12" s="13"/>
      <c r="F12" s="14"/>
    </row>
    <row r="13" customFormat="false" ht="15" hidden="false" customHeight="false" outlineLevel="0" collapsed="false">
      <c r="A13" s="12" t="s">
        <v>113</v>
      </c>
      <c r="B13" s="10" t="n">
        <v>65</v>
      </c>
      <c r="C13" s="12" t="s">
        <v>114</v>
      </c>
      <c r="D13" s="12" t="s">
        <v>115</v>
      </c>
      <c r="E13" s="13"/>
      <c r="F13" s="14" t="s">
        <v>116</v>
      </c>
    </row>
    <row r="14" customFormat="false" ht="15" hidden="false" customHeight="false" outlineLevel="0" collapsed="false">
      <c r="A14" s="12" t="s">
        <v>117</v>
      </c>
      <c r="B14" s="10" t="n">
        <v>100</v>
      </c>
      <c r="C14" s="12" t="s">
        <v>96</v>
      </c>
      <c r="D14" s="12" t="s">
        <v>97</v>
      </c>
      <c r="E14" s="13"/>
      <c r="F14" s="14" t="s">
        <v>118</v>
      </c>
    </row>
    <row r="15" customFormat="false" ht="15" hidden="false" customHeight="false" outlineLevel="0" collapsed="false">
      <c r="A15" s="4" t="s">
        <v>16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12" t="s">
        <v>119</v>
      </c>
      <c r="B16" s="10" t="n">
        <v>3</v>
      </c>
      <c r="C16" s="12" t="s">
        <v>120</v>
      </c>
      <c r="D16" s="12" t="s">
        <v>115</v>
      </c>
      <c r="E16" s="13" t="s">
        <v>121</v>
      </c>
      <c r="F16" s="14" t="s">
        <v>121</v>
      </c>
    </row>
    <row r="17" customFormat="false" ht="15" hidden="false" customHeight="false" outlineLevel="0" collapsed="false">
      <c r="A17" s="12" t="s">
        <v>122</v>
      </c>
      <c r="B17" s="10" t="n">
        <v>15</v>
      </c>
      <c r="C17" s="12" t="s">
        <v>114</v>
      </c>
      <c r="D17" s="12" t="s">
        <v>115</v>
      </c>
      <c r="E17" s="13" t="s">
        <v>123</v>
      </c>
      <c r="F17" s="14" t="s">
        <v>124</v>
      </c>
    </row>
    <row r="18" customFormat="false" ht="15" hidden="false" customHeight="false" outlineLevel="0" collapsed="false">
      <c r="A18" s="12" t="s">
        <v>125</v>
      </c>
      <c r="B18" s="10" t="n">
        <v>1</v>
      </c>
      <c r="C18" s="12" t="s">
        <v>126</v>
      </c>
      <c r="D18" s="12" t="s">
        <v>115</v>
      </c>
      <c r="E18" s="13"/>
      <c r="F18" s="14" t="s">
        <v>127</v>
      </c>
    </row>
    <row r="19" customFormat="false" ht="15" hidden="false" customHeight="false" outlineLevel="0" collapsed="false">
      <c r="A19" s="12" t="s">
        <v>128</v>
      </c>
      <c r="B19" s="10" t="n">
        <v>10</v>
      </c>
      <c r="C19" s="12" t="s">
        <v>114</v>
      </c>
      <c r="D19" s="12" t="s">
        <v>115</v>
      </c>
      <c r="E19" s="13"/>
      <c r="F19" s="14" t="s">
        <v>129</v>
      </c>
    </row>
    <row r="20" customFormat="false" ht="15" hidden="false" customHeight="false" outlineLevel="0" collapsed="false">
      <c r="A20" s="12" t="s">
        <v>130</v>
      </c>
      <c r="B20" s="10" t="n">
        <v>20</v>
      </c>
      <c r="C20" s="12" t="s">
        <v>114</v>
      </c>
      <c r="D20" s="12" t="s">
        <v>115</v>
      </c>
      <c r="E20" s="13"/>
      <c r="F20" s="14" t="s">
        <v>131</v>
      </c>
    </row>
    <row r="21" customFormat="false" ht="15" hidden="false" customHeight="false" outlineLevel="0" collapsed="false">
      <c r="A21" s="4" t="s">
        <v>33</v>
      </c>
      <c r="B21" s="5"/>
      <c r="C21" s="5"/>
      <c r="D21" s="5"/>
      <c r="E21" s="5"/>
      <c r="F21" s="5"/>
    </row>
    <row r="22" customFormat="false" ht="22.35" hidden="false" customHeight="false" outlineLevel="0" collapsed="false">
      <c r="A22" s="15" t="s">
        <v>132</v>
      </c>
      <c r="B22" s="16" t="n">
        <v>0.2</v>
      </c>
      <c r="C22" s="15" t="s">
        <v>133</v>
      </c>
      <c r="D22" s="15" t="s">
        <v>134</v>
      </c>
      <c r="E22" s="17" t="s">
        <v>135</v>
      </c>
      <c r="F22" s="14" t="s">
        <v>136</v>
      </c>
    </row>
    <row r="23" customFormat="false" ht="15" hidden="false" customHeight="false" outlineLevel="0" collapsed="false">
      <c r="A23" s="12" t="s">
        <v>137</v>
      </c>
      <c r="B23" s="10" t="n">
        <v>10</v>
      </c>
      <c r="C23" s="12" t="s">
        <v>114</v>
      </c>
      <c r="D23" s="12" t="s">
        <v>115</v>
      </c>
      <c r="E23" s="13" t="s">
        <v>138</v>
      </c>
      <c r="F23" s="14" t="s">
        <v>139</v>
      </c>
    </row>
    <row r="24" customFormat="false" ht="15" hidden="false" customHeight="false" outlineLevel="0" collapsed="false">
      <c r="A24" s="12" t="s">
        <v>140</v>
      </c>
      <c r="B24" s="10" t="n">
        <v>1</v>
      </c>
      <c r="C24" s="12" t="s">
        <v>141</v>
      </c>
      <c r="D24" s="12" t="s">
        <v>115</v>
      </c>
      <c r="E24" s="13" t="s">
        <v>142</v>
      </c>
      <c r="F24" s="14" t="s">
        <v>143</v>
      </c>
    </row>
    <row r="25" customFormat="false" ht="15" hidden="false" customHeight="false" outlineLevel="0" collapsed="false">
      <c r="A25" s="12" t="s">
        <v>144</v>
      </c>
      <c r="B25" s="10" t="n">
        <v>6</v>
      </c>
      <c r="C25" s="12" t="s">
        <v>109</v>
      </c>
      <c r="D25" s="12" t="s">
        <v>97</v>
      </c>
      <c r="E25" s="13" t="s">
        <v>145</v>
      </c>
      <c r="F25" s="14"/>
    </row>
    <row r="26" customFormat="false" ht="15" hidden="false" customHeight="false" outlineLevel="0" collapsed="false">
      <c r="A26" s="12" t="s">
        <v>146</v>
      </c>
      <c r="B26" s="10" t="n">
        <v>2</v>
      </c>
      <c r="C26" s="12" t="s">
        <v>109</v>
      </c>
      <c r="D26" s="12" t="s">
        <v>97</v>
      </c>
      <c r="E26" s="13"/>
      <c r="F26" s="14" t="s">
        <v>147</v>
      </c>
    </row>
    <row r="27" customFormat="false" ht="15" hidden="false" customHeight="false" outlineLevel="0" collapsed="false">
      <c r="A27" s="12" t="s">
        <v>148</v>
      </c>
      <c r="B27" s="10" t="n">
        <v>20</v>
      </c>
      <c r="C27" s="12" t="s">
        <v>109</v>
      </c>
      <c r="D27" s="12" t="s">
        <v>97</v>
      </c>
      <c r="E27" s="13" t="s">
        <v>149</v>
      </c>
      <c r="F27" s="14"/>
    </row>
    <row r="28" customFormat="false" ht="15" hidden="false" customHeight="false" outlineLevel="0" collapsed="false">
      <c r="A28" s="15" t="s">
        <v>150</v>
      </c>
      <c r="B28" s="18" t="n">
        <v>10</v>
      </c>
      <c r="C28" s="15" t="s">
        <v>109</v>
      </c>
      <c r="D28" s="15" t="s">
        <v>151</v>
      </c>
      <c r="E28" s="17" t="s">
        <v>152</v>
      </c>
      <c r="F28" s="14" t="s">
        <v>153</v>
      </c>
    </row>
    <row r="29" customFormat="false" ht="15" hidden="false" customHeight="false" outlineLevel="0" collapsed="false">
      <c r="A29" s="4" t="s">
        <v>154</v>
      </c>
      <c r="B29" s="5"/>
      <c r="C29" s="5"/>
      <c r="D29" s="5"/>
      <c r="E29" s="5"/>
      <c r="F29" s="5"/>
    </row>
    <row r="30" customFormat="false" ht="15" hidden="false" customHeight="false" outlineLevel="0" collapsed="false">
      <c r="A30" s="12" t="s">
        <v>155</v>
      </c>
      <c r="B30" s="10" t="n">
        <v>40</v>
      </c>
      <c r="C30" s="12" t="s">
        <v>156</v>
      </c>
      <c r="D30" s="12" t="s">
        <v>97</v>
      </c>
      <c r="E30" s="13"/>
      <c r="F30" s="14"/>
    </row>
    <row r="31" customFormat="false" ht="15" hidden="false" customHeight="false" outlineLevel="0" collapsed="false">
      <c r="A31" s="12" t="s">
        <v>157</v>
      </c>
      <c r="B31" s="10" t="n">
        <v>1.5</v>
      </c>
      <c r="C31" s="12" t="s">
        <v>156</v>
      </c>
      <c r="D31" s="12" t="s">
        <v>97</v>
      </c>
      <c r="E31" s="13"/>
      <c r="F31" s="14"/>
    </row>
    <row r="32" customFormat="false" ht="15" hidden="false" customHeight="false" outlineLevel="0" collapsed="false">
      <c r="A32" s="12" t="s">
        <v>158</v>
      </c>
      <c r="B32" s="10" t="n">
        <v>4</v>
      </c>
      <c r="C32" s="12" t="s">
        <v>156</v>
      </c>
      <c r="D32" s="12" t="s">
        <v>97</v>
      </c>
      <c r="E32" s="13"/>
      <c r="F32" s="14"/>
    </row>
    <row r="33" customFormat="false" ht="15" hidden="false" customHeight="false" outlineLevel="0" collapsed="false">
      <c r="A33" s="12" t="s">
        <v>159</v>
      </c>
      <c r="B33" s="19" t="n">
        <v>0.03</v>
      </c>
      <c r="C33" s="12" t="s">
        <v>160</v>
      </c>
      <c r="D33" s="12" t="s">
        <v>97</v>
      </c>
      <c r="E33" s="13"/>
      <c r="F33" s="14"/>
    </row>
    <row r="34" customFormat="false" ht="15" hidden="false" customHeight="false" outlineLevel="0" collapsed="false">
      <c r="A34" s="12" t="s">
        <v>161</v>
      </c>
      <c r="B34" s="19" t="n">
        <v>0.4</v>
      </c>
      <c r="C34" s="12" t="s">
        <v>160</v>
      </c>
      <c r="D34" s="12" t="s">
        <v>97</v>
      </c>
      <c r="E34" s="13"/>
      <c r="F34" s="14"/>
    </row>
    <row r="35" customFormat="false" ht="15" hidden="false" customHeight="false" outlineLevel="0" collapsed="false">
      <c r="A35" s="12" t="s">
        <v>162</v>
      </c>
      <c r="B35" s="10" t="n">
        <v>8</v>
      </c>
      <c r="C35" s="12" t="s">
        <v>114</v>
      </c>
      <c r="D35" s="12" t="s">
        <v>115</v>
      </c>
      <c r="E35" s="13"/>
      <c r="F35" s="14" t="s">
        <v>163</v>
      </c>
    </row>
    <row r="36" customFormat="false" ht="15" hidden="false" customHeight="false" outlineLevel="0" collapsed="false">
      <c r="A36" s="12" t="s">
        <v>164</v>
      </c>
      <c r="B36" s="10" t="n">
        <v>9</v>
      </c>
      <c r="C36" s="12" t="s">
        <v>156</v>
      </c>
      <c r="D36" s="12" t="s">
        <v>97</v>
      </c>
      <c r="E36" s="13" t="s">
        <v>165</v>
      </c>
      <c r="F36" s="14"/>
    </row>
    <row r="37" customFormat="false" ht="15" hidden="false" customHeight="false" outlineLevel="0" collapsed="false">
      <c r="A37" s="12" t="s">
        <v>166</v>
      </c>
      <c r="B37" s="10" t="n">
        <v>1.1</v>
      </c>
      <c r="C37" s="12" t="s">
        <v>156</v>
      </c>
      <c r="D37" s="12" t="s">
        <v>97</v>
      </c>
      <c r="E37" s="13"/>
      <c r="F37" s="14"/>
    </row>
    <row r="38" customFormat="false" ht="15" hidden="false" customHeight="false" outlineLevel="0" collapsed="false">
      <c r="A38" s="12" t="s">
        <v>167</v>
      </c>
      <c r="B38" s="10" t="n">
        <v>0.25</v>
      </c>
      <c r="C38" s="12" t="s">
        <v>156</v>
      </c>
      <c r="D38" s="12" t="s">
        <v>97</v>
      </c>
      <c r="E38" s="13"/>
      <c r="F38" s="14"/>
    </row>
    <row r="39" customFormat="false" ht="15" hidden="false" customHeight="false" outlineLevel="0" collapsed="false">
      <c r="A39" s="12" t="s">
        <v>168</v>
      </c>
      <c r="B39" s="10" t="n">
        <v>2.2</v>
      </c>
      <c r="C39" s="12" t="s">
        <v>156</v>
      </c>
      <c r="D39" s="12" t="s">
        <v>97</v>
      </c>
      <c r="E39" s="13"/>
      <c r="F39" s="14"/>
    </row>
    <row r="40" customFormat="false" ht="15" hidden="false" customHeight="false" outlineLevel="0" collapsed="false">
      <c r="A40" s="4" t="s">
        <v>169</v>
      </c>
      <c r="B40" s="5"/>
      <c r="C40" s="5"/>
      <c r="D40" s="5"/>
      <c r="E40" s="5"/>
      <c r="F40" s="5"/>
    </row>
    <row r="41" customFormat="false" ht="15" hidden="false" customHeight="false" outlineLevel="0" collapsed="false">
      <c r="A41" s="12" t="s">
        <v>170</v>
      </c>
      <c r="B41" s="10" t="n">
        <v>0.06</v>
      </c>
      <c r="C41" s="12" t="s">
        <v>99</v>
      </c>
      <c r="D41" s="12" t="s">
        <v>97</v>
      </c>
      <c r="E41" s="13"/>
      <c r="F41" s="14" t="s">
        <v>171</v>
      </c>
    </row>
    <row r="42" customFormat="false" ht="15" hidden="false" customHeight="false" outlineLevel="0" collapsed="false">
      <c r="A42" s="12" t="s">
        <v>172</v>
      </c>
      <c r="B42" s="10" t="n">
        <v>0.03</v>
      </c>
      <c r="C42" s="12" t="s">
        <v>99</v>
      </c>
      <c r="D42" s="12" t="s">
        <v>97</v>
      </c>
      <c r="E42" s="13"/>
      <c r="F42" s="14"/>
    </row>
    <row r="43" customFormat="false" ht="15" hidden="false" customHeight="false" outlineLevel="0" collapsed="false">
      <c r="A43" s="12" t="s">
        <v>173</v>
      </c>
      <c r="B43" s="19" t="n">
        <v>0.5</v>
      </c>
      <c r="C43" s="12" t="s">
        <v>174</v>
      </c>
      <c r="D43" s="12" t="s">
        <v>97</v>
      </c>
      <c r="E43" s="13"/>
      <c r="F43" s="14"/>
    </row>
    <row r="44" customFormat="false" ht="15" hidden="false" customHeight="false" outlineLevel="0" collapsed="false">
      <c r="A44" s="12" t="s">
        <v>175</v>
      </c>
      <c r="B44" s="10" t="n">
        <v>15</v>
      </c>
      <c r="C44" s="12" t="s">
        <v>176</v>
      </c>
      <c r="D44" s="12" t="s">
        <v>97</v>
      </c>
      <c r="E44" s="13"/>
      <c r="F44" s="14"/>
    </row>
    <row r="45" customFormat="false" ht="15" hidden="false" customHeight="false" outlineLevel="0" collapsed="false">
      <c r="A45" s="12" t="s">
        <v>177</v>
      </c>
      <c r="B45" s="10" t="n">
        <v>0.15</v>
      </c>
      <c r="C45" s="12" t="s">
        <v>99</v>
      </c>
      <c r="D45" s="12" t="s">
        <v>97</v>
      </c>
      <c r="E45" s="13"/>
      <c r="F45" s="14" t="s">
        <v>178</v>
      </c>
    </row>
    <row r="46" customFormat="false" ht="15" hidden="false" customHeight="false" outlineLevel="0" collapsed="false">
      <c r="A46" s="4" t="s">
        <v>40</v>
      </c>
      <c r="B46" s="5"/>
      <c r="C46" s="5"/>
      <c r="D46" s="5"/>
      <c r="E46" s="5"/>
      <c r="F46" s="5"/>
    </row>
    <row r="47" customFormat="false" ht="15" hidden="false" customHeight="false" outlineLevel="0" collapsed="false">
      <c r="A47" s="12" t="s">
        <v>179</v>
      </c>
      <c r="B47" s="10" t="n">
        <v>3</v>
      </c>
      <c r="C47" s="12" t="s">
        <v>180</v>
      </c>
      <c r="D47" s="12" t="s">
        <v>115</v>
      </c>
      <c r="E47" s="13"/>
      <c r="F47" s="14" t="s">
        <v>181</v>
      </c>
    </row>
    <row r="48" customFormat="false" ht="15" hidden="false" customHeight="false" outlineLevel="0" collapsed="false">
      <c r="A48" s="12" t="s">
        <v>182</v>
      </c>
      <c r="B48" s="10" t="n">
        <v>2</v>
      </c>
      <c r="C48" s="12" t="s">
        <v>114</v>
      </c>
      <c r="D48" s="12" t="s">
        <v>115</v>
      </c>
      <c r="E48" s="13"/>
      <c r="F48" s="14" t="s">
        <v>183</v>
      </c>
    </row>
    <row r="49" customFormat="false" ht="15" hidden="false" customHeight="false" outlineLevel="0" collapsed="false">
      <c r="A49" s="12" t="s">
        <v>182</v>
      </c>
      <c r="B49" s="10" t="n">
        <v>5</v>
      </c>
      <c r="C49" s="12" t="s">
        <v>114</v>
      </c>
      <c r="D49" s="12" t="s">
        <v>115</v>
      </c>
      <c r="E49" s="13"/>
      <c r="F49" s="14" t="s">
        <v>184</v>
      </c>
    </row>
    <row r="50" customFormat="false" ht="15" hidden="false" customHeight="false" outlineLevel="0" collapsed="false">
      <c r="A50" s="12" t="s">
        <v>182</v>
      </c>
      <c r="B50" s="10" t="n">
        <v>11</v>
      </c>
      <c r="C50" s="12" t="s">
        <v>114</v>
      </c>
      <c r="D50" s="12" t="s">
        <v>115</v>
      </c>
      <c r="E50" s="13"/>
      <c r="F50" s="14" t="s">
        <v>185</v>
      </c>
    </row>
    <row r="51" customFormat="false" ht="15" hidden="false" customHeight="false" outlineLevel="0" collapsed="false">
      <c r="A51" s="12" t="s">
        <v>182</v>
      </c>
      <c r="B51" s="10" t="n">
        <v>14</v>
      </c>
      <c r="C51" s="12" t="s">
        <v>114</v>
      </c>
      <c r="D51" s="12" t="s">
        <v>115</v>
      </c>
      <c r="E51" s="13"/>
      <c r="F51" s="14" t="s">
        <v>186</v>
      </c>
    </row>
    <row r="52" customFormat="false" ht="15" hidden="false" customHeight="false" outlineLevel="0" collapsed="false">
      <c r="A52" s="12" t="s">
        <v>182</v>
      </c>
      <c r="B52" s="10" t="n">
        <v>17</v>
      </c>
      <c r="C52" s="12" t="s">
        <v>114</v>
      </c>
      <c r="D52" s="12" t="s">
        <v>115</v>
      </c>
      <c r="E52" s="13"/>
      <c r="F52" s="14" t="s">
        <v>187</v>
      </c>
    </row>
    <row r="53" customFormat="false" ht="15" hidden="false" customHeight="false" outlineLevel="0" collapsed="false">
      <c r="A53" s="12" t="s">
        <v>182</v>
      </c>
      <c r="B53" s="10" t="n">
        <v>21</v>
      </c>
      <c r="C53" s="12" t="s">
        <v>114</v>
      </c>
      <c r="D53" s="12" t="s">
        <v>115</v>
      </c>
      <c r="E53" s="13"/>
      <c r="F53" s="14" t="s">
        <v>188</v>
      </c>
    </row>
    <row r="54" customFormat="false" ht="15" hidden="false" customHeight="false" outlineLevel="0" collapsed="false">
      <c r="A54" s="12" t="s">
        <v>189</v>
      </c>
      <c r="B54" s="10" t="n">
        <v>3</v>
      </c>
      <c r="C54" s="12" t="s">
        <v>190</v>
      </c>
      <c r="D54" s="12" t="s">
        <v>115</v>
      </c>
      <c r="E54" s="13" t="s">
        <v>191</v>
      </c>
      <c r="F54" s="14" t="s">
        <v>192</v>
      </c>
    </row>
    <row r="55" customFormat="false" ht="15" hidden="false" customHeight="false" outlineLevel="0" collapsed="false">
      <c r="A55" s="12" t="s">
        <v>193</v>
      </c>
      <c r="B55" s="10" t="n">
        <v>30</v>
      </c>
      <c r="C55" s="12" t="s">
        <v>96</v>
      </c>
      <c r="D55" s="12" t="s">
        <v>115</v>
      </c>
      <c r="E55" s="13" t="s">
        <v>194</v>
      </c>
      <c r="F55" s="14" t="s">
        <v>195</v>
      </c>
    </row>
    <row r="56" customFormat="false" ht="15" hidden="false" customHeight="false" outlineLevel="0" collapsed="false">
      <c r="A56" s="15" t="s">
        <v>196</v>
      </c>
      <c r="B56" s="16" t="n">
        <v>0.25</v>
      </c>
      <c r="C56" s="15" t="s">
        <v>197</v>
      </c>
      <c r="D56" s="15" t="s">
        <v>151</v>
      </c>
      <c r="E56" s="17"/>
      <c r="F56" s="14"/>
    </row>
    <row r="57" customFormat="false" ht="15" hidden="false" customHeight="false" outlineLevel="0" collapsed="false">
      <c r="A57" s="12" t="s">
        <v>198</v>
      </c>
      <c r="B57" s="10" t="n">
        <v>100</v>
      </c>
      <c r="C57" s="12" t="s">
        <v>96</v>
      </c>
      <c r="D57" s="12" t="s">
        <v>115</v>
      </c>
      <c r="E57" s="13"/>
      <c r="F57" s="14" t="s">
        <v>199</v>
      </c>
    </row>
    <row r="58" customFormat="false" ht="15" hidden="false" customHeight="false" outlineLevel="0" collapsed="false">
      <c r="A58" s="12" t="s">
        <v>200</v>
      </c>
      <c r="B58" s="10" t="n">
        <v>60</v>
      </c>
      <c r="C58" s="12" t="s">
        <v>201</v>
      </c>
      <c r="D58" s="12" t="s">
        <v>115</v>
      </c>
      <c r="E58" s="13" t="s">
        <v>202</v>
      </c>
      <c r="F58" s="14" t="s">
        <v>203</v>
      </c>
    </row>
    <row r="59" customFormat="false" ht="15" hidden="false" customHeight="false" outlineLevel="0" collapsed="false">
      <c r="A59" s="12" t="s">
        <v>204</v>
      </c>
      <c r="B59" s="10" t="n">
        <v>100</v>
      </c>
      <c r="C59" s="12" t="s">
        <v>96</v>
      </c>
      <c r="D59" s="12" t="s">
        <v>97</v>
      </c>
      <c r="E59" s="13" t="s">
        <v>205</v>
      </c>
      <c r="F59" s="14"/>
    </row>
    <row r="60" customFormat="false" ht="15" hidden="false" customHeight="false" outlineLevel="0" collapsed="false">
      <c r="A60" s="12" t="s">
        <v>206</v>
      </c>
      <c r="B60" s="10" t="n">
        <v>60</v>
      </c>
      <c r="C60" s="12" t="s">
        <v>96</v>
      </c>
      <c r="D60" s="12" t="s">
        <v>97</v>
      </c>
      <c r="E60" s="13"/>
      <c r="F60" s="14"/>
    </row>
    <row r="61" customFormat="false" ht="15" hidden="false" customHeight="false" outlineLevel="0" collapsed="false">
      <c r="A61" s="4" t="s">
        <v>207</v>
      </c>
      <c r="B61" s="5"/>
      <c r="C61" s="5"/>
      <c r="D61" s="5"/>
      <c r="E61" s="5"/>
      <c r="F61" s="5"/>
    </row>
    <row r="62" customFormat="false" ht="15" hidden="false" customHeight="false" outlineLevel="0" collapsed="false">
      <c r="A62" s="12" t="s">
        <v>208</v>
      </c>
      <c r="B62" s="10" t="n">
        <v>20</v>
      </c>
      <c r="C62" s="12" t="s">
        <v>156</v>
      </c>
      <c r="D62" s="12" t="s">
        <v>97</v>
      </c>
      <c r="E62" s="13" t="s">
        <v>209</v>
      </c>
      <c r="F62" s="14"/>
    </row>
    <row r="63" customFormat="false" ht="15" hidden="false" customHeight="false" outlineLevel="0" collapsed="false">
      <c r="A63" s="12" t="s">
        <v>210</v>
      </c>
      <c r="B63" s="10" t="n">
        <v>3</v>
      </c>
      <c r="C63" s="12" t="s">
        <v>141</v>
      </c>
      <c r="D63" s="12" t="s">
        <v>97</v>
      </c>
      <c r="E63" s="13"/>
      <c r="F63" s="14"/>
    </row>
    <row r="64" customFormat="false" ht="15" hidden="false" customHeight="false" outlineLevel="0" collapsed="false">
      <c r="A64" s="12" t="s">
        <v>211</v>
      </c>
      <c r="B64" s="19" t="n">
        <v>0.75</v>
      </c>
      <c r="C64" s="12" t="s">
        <v>212</v>
      </c>
      <c r="D64" s="12" t="s">
        <v>97</v>
      </c>
      <c r="E64" s="13"/>
      <c r="F64" s="14"/>
    </row>
    <row r="65" customFormat="false" ht="15" hidden="false" customHeight="false" outlineLevel="0" collapsed="false">
      <c r="A65" s="12" t="s">
        <v>213</v>
      </c>
      <c r="B65" s="19" t="n">
        <v>0.25</v>
      </c>
      <c r="C65" s="12" t="s">
        <v>212</v>
      </c>
      <c r="D65" s="12" t="s">
        <v>97</v>
      </c>
      <c r="E65" s="13"/>
      <c r="F65" s="14"/>
    </row>
    <row r="66" customFormat="false" ht="15" hidden="false" customHeight="false" outlineLevel="0" collapsed="false">
      <c r="A66" s="12" t="s">
        <v>214</v>
      </c>
      <c r="B66" s="10" t="n">
        <v>3</v>
      </c>
      <c r="C66" s="12" t="s">
        <v>141</v>
      </c>
      <c r="D66" s="12" t="s">
        <v>115</v>
      </c>
      <c r="E66" s="13"/>
      <c r="F66" s="14" t="s">
        <v>215</v>
      </c>
    </row>
    <row r="67" customFormat="false" ht="15" hidden="false" customHeight="false" outlineLevel="0" collapsed="false">
      <c r="A67" s="12" t="s">
        <v>216</v>
      </c>
      <c r="B67" s="19" t="n">
        <v>0.5</v>
      </c>
      <c r="C67" s="12" t="s">
        <v>217</v>
      </c>
      <c r="D67" s="12" t="s">
        <v>115</v>
      </c>
      <c r="E67" s="13"/>
      <c r="F67" s="14" t="s">
        <v>218</v>
      </c>
    </row>
    <row r="68" customFormat="false" ht="15" hidden="false" customHeight="false" outlineLevel="0" collapsed="false">
      <c r="A68" s="4" t="s">
        <v>219</v>
      </c>
      <c r="B68" s="5"/>
      <c r="C68" s="5"/>
      <c r="D68" s="5"/>
      <c r="E68" s="5"/>
      <c r="F68" s="5"/>
    </row>
    <row r="69" customFormat="false" ht="15" hidden="false" customHeight="false" outlineLevel="0" collapsed="false">
      <c r="A69" s="12" t="s">
        <v>220</v>
      </c>
      <c r="B69" s="10" t="n">
        <v>1</v>
      </c>
      <c r="C69" s="12" t="s">
        <v>141</v>
      </c>
      <c r="D69" s="12" t="s">
        <v>115</v>
      </c>
      <c r="E69" s="13"/>
      <c r="F69" s="14" t="s">
        <v>221</v>
      </c>
    </row>
    <row r="70" customFormat="false" ht="15" hidden="false" customHeight="false" outlineLevel="0" collapsed="false">
      <c r="A70" s="12" t="s">
        <v>222</v>
      </c>
      <c r="B70" s="10" t="n">
        <v>5</v>
      </c>
      <c r="C70" s="12" t="s">
        <v>141</v>
      </c>
      <c r="D70" s="12" t="s">
        <v>115</v>
      </c>
      <c r="E70" s="13"/>
      <c r="F70" s="14" t="s">
        <v>223</v>
      </c>
    </row>
    <row r="71" customFormat="false" ht="15" hidden="false" customHeight="false" outlineLevel="0" collapsed="false">
      <c r="A71" s="15" t="s">
        <v>224</v>
      </c>
      <c r="B71" s="18" t="n">
        <v>1</v>
      </c>
      <c r="C71" s="15" t="s">
        <v>225</v>
      </c>
      <c r="D71" s="15" t="s">
        <v>226</v>
      </c>
      <c r="E71" s="17" t="s">
        <v>227</v>
      </c>
      <c r="F71" s="14" t="s">
        <v>228</v>
      </c>
    </row>
    <row r="72" customFormat="false" ht="15" hidden="false" customHeight="false" outlineLevel="0" collapsed="false">
      <c r="A72" s="12" t="s">
        <v>229</v>
      </c>
      <c r="B72" s="10" t="n">
        <v>1</v>
      </c>
      <c r="C72" s="12" t="s">
        <v>230</v>
      </c>
      <c r="D72" s="12" t="s">
        <v>115</v>
      </c>
      <c r="E72" s="13" t="s">
        <v>231</v>
      </c>
      <c r="F72" s="14" t="s">
        <v>232</v>
      </c>
    </row>
    <row r="73" customFormat="false" ht="15" hidden="false" customHeight="false" outlineLevel="0" collapsed="false">
      <c r="A73" s="12" t="s">
        <v>233</v>
      </c>
      <c r="B73" s="10" t="n">
        <v>10</v>
      </c>
      <c r="C73" s="12" t="s">
        <v>156</v>
      </c>
      <c r="D73" s="12" t="s">
        <v>115</v>
      </c>
      <c r="E73" s="13"/>
      <c r="F73" s="14" t="s">
        <v>234</v>
      </c>
    </row>
    <row r="74" customFormat="false" ht="15" hidden="false" customHeight="false" outlineLevel="0" collapsed="false">
      <c r="A74" s="12" t="s">
        <v>235</v>
      </c>
      <c r="B74" s="10" t="n">
        <v>100</v>
      </c>
      <c r="C74" s="12" t="s">
        <v>96</v>
      </c>
      <c r="D74" s="12" t="s">
        <v>115</v>
      </c>
      <c r="E74" s="13" t="s">
        <v>236</v>
      </c>
      <c r="F74" s="14" t="s">
        <v>237</v>
      </c>
    </row>
    <row r="75" customFormat="false" ht="15" hidden="false" customHeight="false" outlineLevel="0" collapsed="false">
      <c r="A75" s="12" t="s">
        <v>238</v>
      </c>
      <c r="B75" s="10" t="n">
        <v>25</v>
      </c>
      <c r="C75" s="12" t="s">
        <v>96</v>
      </c>
      <c r="D75" s="12" t="s">
        <v>115</v>
      </c>
      <c r="E75" s="13"/>
      <c r="F75" s="14" t="s">
        <v>239</v>
      </c>
    </row>
    <row r="76" customFormat="false" ht="15" hidden="false" customHeight="false" outlineLevel="0" collapsed="false">
      <c r="A76" s="12" t="s">
        <v>240</v>
      </c>
      <c r="B76" s="10" t="n">
        <v>10</v>
      </c>
      <c r="C76" s="12" t="s">
        <v>96</v>
      </c>
      <c r="D76" s="12" t="s">
        <v>115</v>
      </c>
      <c r="E76" s="13"/>
      <c r="F76" s="14" t="s">
        <v>241</v>
      </c>
    </row>
    <row r="77" customFormat="false" ht="15" hidden="false" customHeight="false" outlineLevel="0" collapsed="false">
      <c r="A77" s="12" t="s">
        <v>242</v>
      </c>
      <c r="B77" s="10" t="n">
        <v>3</v>
      </c>
      <c r="C77" s="12" t="s">
        <v>96</v>
      </c>
      <c r="D77" s="12" t="s">
        <v>115</v>
      </c>
      <c r="E77" s="13"/>
      <c r="F77" s="14" t="s">
        <v>243</v>
      </c>
    </row>
    <row r="78" customFormat="false" ht="15" hidden="false" customHeight="false" outlineLevel="0" collapsed="false">
      <c r="A78" s="12" t="s">
        <v>244</v>
      </c>
      <c r="B78" s="10" t="n">
        <v>20</v>
      </c>
      <c r="C78" s="12" t="s">
        <v>245</v>
      </c>
      <c r="D78" s="12" t="s">
        <v>115</v>
      </c>
      <c r="E78" s="13"/>
      <c r="F78" s="14" t="s">
        <v>246</v>
      </c>
    </row>
    <row r="79" customFormat="false" ht="15" hidden="false" customHeight="false" outlineLevel="0" collapsed="false">
      <c r="A79" s="12" t="s">
        <v>247</v>
      </c>
      <c r="B79" s="10" t="n">
        <v>1</v>
      </c>
      <c r="C79" s="12" t="s">
        <v>96</v>
      </c>
      <c r="D79" s="12" t="s">
        <v>115</v>
      </c>
      <c r="E79" s="13" t="s">
        <v>248</v>
      </c>
      <c r="F79" s="14" t="s">
        <v>249</v>
      </c>
    </row>
    <row r="80" customFormat="false" ht="15" hidden="false" customHeight="false" outlineLevel="0" collapsed="false">
      <c r="A80" s="12" t="s">
        <v>250</v>
      </c>
      <c r="B80" s="10" t="n">
        <v>2</v>
      </c>
      <c r="C80" s="12" t="s">
        <v>251</v>
      </c>
      <c r="D80" s="12" t="s">
        <v>115</v>
      </c>
      <c r="E80" s="13" t="s">
        <v>252</v>
      </c>
      <c r="F80" s="14" t="s">
        <v>253</v>
      </c>
    </row>
    <row r="81" customFormat="false" ht="15" hidden="false" customHeight="false" outlineLevel="0" collapsed="false">
      <c r="A81" s="12" t="s">
        <v>254</v>
      </c>
      <c r="B81" s="10" t="n">
        <v>3</v>
      </c>
      <c r="C81" s="12" t="s">
        <v>255</v>
      </c>
      <c r="D81" s="12" t="s">
        <v>115</v>
      </c>
      <c r="E81" s="13" t="s">
        <v>256</v>
      </c>
      <c r="F81" s="14" t="s">
        <v>256</v>
      </c>
    </row>
    <row r="82" customFormat="false" ht="15" hidden="false" customHeight="false" outlineLevel="0" collapsed="false">
      <c r="A82" s="4" t="s">
        <v>257</v>
      </c>
      <c r="B82" s="5"/>
      <c r="C82" s="5"/>
      <c r="D82" s="5"/>
      <c r="E82" s="5"/>
      <c r="F82" s="5"/>
    </row>
    <row r="83" customFormat="false" ht="15" hidden="false" customHeight="false" outlineLevel="0" collapsed="false">
      <c r="A83" s="15" t="s">
        <v>258</v>
      </c>
      <c r="B83" s="18" t="n">
        <v>3</v>
      </c>
      <c r="C83" s="15" t="s">
        <v>114</v>
      </c>
      <c r="D83" s="15" t="s">
        <v>134</v>
      </c>
      <c r="E83" s="17" t="s">
        <v>259</v>
      </c>
      <c r="F83" s="14" t="s">
        <v>260</v>
      </c>
    </row>
    <row r="84" customFormat="false" ht="15" hidden="false" customHeight="false" outlineLevel="0" collapsed="false">
      <c r="A84" s="15" t="s">
        <v>261</v>
      </c>
      <c r="B84" s="18" t="n">
        <v>6</v>
      </c>
      <c r="C84" s="15" t="s">
        <v>114</v>
      </c>
      <c r="D84" s="15" t="s">
        <v>134</v>
      </c>
      <c r="E84" s="17"/>
      <c r="F84" s="14" t="s">
        <v>262</v>
      </c>
    </row>
    <row r="85" customFormat="false" ht="15" hidden="false" customHeight="false" outlineLevel="0" collapsed="false">
      <c r="A85" s="15" t="s">
        <v>263</v>
      </c>
      <c r="B85" s="18" t="n">
        <v>9</v>
      </c>
      <c r="C85" s="15" t="s">
        <v>114</v>
      </c>
      <c r="D85" s="15" t="s">
        <v>134</v>
      </c>
      <c r="E85" s="17"/>
      <c r="F85" s="14" t="s">
        <v>264</v>
      </c>
    </row>
    <row r="86" customFormat="false" ht="15" hidden="false" customHeight="false" outlineLevel="0" collapsed="false">
      <c r="A86" s="15" t="s">
        <v>265</v>
      </c>
      <c r="B86" s="18" t="n">
        <v>13</v>
      </c>
      <c r="C86" s="15" t="s">
        <v>114</v>
      </c>
      <c r="D86" s="15" t="s">
        <v>134</v>
      </c>
      <c r="E86" s="17"/>
      <c r="F86" s="14" t="s">
        <v>266</v>
      </c>
    </row>
    <row r="87" customFormat="false" ht="15" hidden="false" customHeight="false" outlineLevel="0" collapsed="false">
      <c r="A87" s="15" t="s">
        <v>267</v>
      </c>
      <c r="B87" s="18" t="n">
        <v>18</v>
      </c>
      <c r="C87" s="15" t="s">
        <v>114</v>
      </c>
      <c r="D87" s="15" t="s">
        <v>134</v>
      </c>
      <c r="E87" s="17"/>
      <c r="F87" s="14" t="s">
        <v>268</v>
      </c>
    </row>
    <row r="88" customFormat="false" ht="15" hidden="false" customHeight="false" outlineLevel="0" collapsed="false">
      <c r="A88" s="15" t="s">
        <v>269</v>
      </c>
      <c r="B88" s="18" t="n">
        <v>22</v>
      </c>
      <c r="C88" s="15" t="s">
        <v>114</v>
      </c>
      <c r="D88" s="15" t="s">
        <v>134</v>
      </c>
      <c r="E88" s="17"/>
      <c r="F88" s="14" t="s">
        <v>270</v>
      </c>
    </row>
    <row r="89" customFormat="false" ht="15" hidden="false" customHeight="false" outlineLevel="0" collapsed="false">
      <c r="A89" s="15" t="s">
        <v>271</v>
      </c>
      <c r="B89" s="18" t="n">
        <v>26</v>
      </c>
      <c r="C89" s="15" t="s">
        <v>114</v>
      </c>
      <c r="D89" s="15" t="s">
        <v>134</v>
      </c>
      <c r="E89" s="17"/>
      <c r="F89" s="14" t="s">
        <v>272</v>
      </c>
    </row>
    <row r="90" customFormat="false" ht="15" hidden="false" customHeight="false" outlineLevel="0" collapsed="false">
      <c r="A90" s="15" t="s">
        <v>273</v>
      </c>
      <c r="B90" s="18" t="n">
        <v>30</v>
      </c>
      <c r="C90" s="15" t="s">
        <v>114</v>
      </c>
      <c r="D90" s="15" t="s">
        <v>134</v>
      </c>
      <c r="E90" s="17"/>
      <c r="F90" s="14" t="s">
        <v>274</v>
      </c>
    </row>
    <row r="91" customFormat="false" ht="15" hidden="false" customHeight="false" outlineLevel="0" collapsed="false">
      <c r="A91" s="15" t="s">
        <v>275</v>
      </c>
      <c r="B91" s="18" t="n">
        <v>34</v>
      </c>
      <c r="C91" s="15" t="s">
        <v>114</v>
      </c>
      <c r="D91" s="15" t="s">
        <v>134</v>
      </c>
      <c r="E91" s="17"/>
      <c r="F91" s="14" t="s">
        <v>276</v>
      </c>
    </row>
    <row r="92" customFormat="false" ht="15" hidden="false" customHeight="false" outlineLevel="0" collapsed="false">
      <c r="A92" s="12" t="s">
        <v>277</v>
      </c>
      <c r="B92" s="10" t="n">
        <v>48</v>
      </c>
      <c r="C92" s="12" t="s">
        <v>190</v>
      </c>
      <c r="D92" s="12" t="s">
        <v>115</v>
      </c>
      <c r="E92" s="13" t="s">
        <v>278</v>
      </c>
      <c r="F92" s="14" t="s">
        <v>279</v>
      </c>
    </row>
    <row r="93" customFormat="false" ht="15" hidden="false" customHeight="false" outlineLevel="0" collapsed="false">
      <c r="A93" s="12" t="s">
        <v>280</v>
      </c>
      <c r="B93" s="10" t="n">
        <v>9</v>
      </c>
      <c r="C93" s="12" t="s">
        <v>190</v>
      </c>
      <c r="D93" s="12" t="s">
        <v>115</v>
      </c>
      <c r="E93" s="13" t="s">
        <v>281</v>
      </c>
      <c r="F93" s="14" t="s">
        <v>282</v>
      </c>
    </row>
    <row r="94" customFormat="false" ht="15" hidden="false" customHeight="false" outlineLevel="0" collapsed="false">
      <c r="A94" s="12" t="s">
        <v>283</v>
      </c>
      <c r="B94" s="10" t="n">
        <v>300</v>
      </c>
      <c r="C94" s="12" t="s">
        <v>96</v>
      </c>
      <c r="D94" s="12" t="s">
        <v>115</v>
      </c>
      <c r="E94" s="13" t="s">
        <v>236</v>
      </c>
      <c r="F94" s="14" t="s">
        <v>284</v>
      </c>
    </row>
    <row r="95" customFormat="false" ht="15" hidden="false" customHeight="false" outlineLevel="0" collapsed="false">
      <c r="A95" s="4" t="s">
        <v>75</v>
      </c>
      <c r="B95" s="5"/>
      <c r="C95" s="5"/>
      <c r="D95" s="5"/>
      <c r="E95" s="5"/>
      <c r="F95" s="5"/>
    </row>
    <row r="96" customFormat="false" ht="15" hidden="false" customHeight="false" outlineLevel="0" collapsed="false">
      <c r="A96" s="12" t="s">
        <v>285</v>
      </c>
      <c r="B96" s="10" t="n">
        <v>3</v>
      </c>
      <c r="C96" s="12" t="s">
        <v>96</v>
      </c>
      <c r="D96" s="12" t="s">
        <v>115</v>
      </c>
      <c r="E96" s="13" t="s">
        <v>286</v>
      </c>
      <c r="F96" s="14" t="s">
        <v>287</v>
      </c>
    </row>
    <row r="97" customFormat="false" ht="15" hidden="false" customHeight="false" outlineLevel="0" collapsed="false">
      <c r="A97" s="12" t="s">
        <v>288</v>
      </c>
      <c r="B97" s="10" t="n">
        <v>8</v>
      </c>
      <c r="C97" s="12" t="s">
        <v>289</v>
      </c>
      <c r="D97" s="12" t="s">
        <v>115</v>
      </c>
      <c r="E97" s="13"/>
      <c r="F97" s="14" t="s">
        <v>290</v>
      </c>
    </row>
    <row r="98" customFormat="false" ht="15" hidden="false" customHeight="false" outlineLevel="0" collapsed="false">
      <c r="A98" s="15" t="s">
        <v>291</v>
      </c>
      <c r="B98" s="18" t="n">
        <v>40</v>
      </c>
      <c r="C98" s="15" t="s">
        <v>96</v>
      </c>
      <c r="D98" s="15" t="s">
        <v>151</v>
      </c>
      <c r="E98" s="17" t="s">
        <v>292</v>
      </c>
      <c r="F98" s="14"/>
    </row>
    <row r="99" customFormat="false" ht="15" hidden="false" customHeight="false" outlineLevel="0" collapsed="false">
      <c r="A99" s="4" t="s">
        <v>35</v>
      </c>
      <c r="B99" s="5"/>
      <c r="C99" s="5"/>
      <c r="D99" s="5"/>
      <c r="E99" s="5"/>
      <c r="F99" s="5"/>
    </row>
    <row r="100" customFormat="false" ht="15" hidden="false" customHeight="false" outlineLevel="0" collapsed="false">
      <c r="A100" s="12" t="s">
        <v>293</v>
      </c>
      <c r="B100" s="19" t="n">
        <v>0.333333333333333</v>
      </c>
      <c r="C100" s="12" t="s">
        <v>294</v>
      </c>
      <c r="D100" s="12" t="s">
        <v>115</v>
      </c>
      <c r="E100" s="13" t="s">
        <v>295</v>
      </c>
      <c r="F100" s="14" t="s">
        <v>296</v>
      </c>
    </row>
    <row r="101" customFormat="false" ht="15" hidden="false" customHeight="false" outlineLevel="0" collapsed="false">
      <c r="A101" s="4" t="s">
        <v>297</v>
      </c>
      <c r="B101" s="5"/>
      <c r="C101" s="5"/>
      <c r="D101" s="5"/>
      <c r="E101" s="5"/>
      <c r="F101" s="5"/>
    </row>
    <row r="102" customFormat="false" ht="15" hidden="false" customHeight="false" outlineLevel="0" collapsed="false">
      <c r="A102" s="15" t="s">
        <v>298</v>
      </c>
      <c r="B102" s="18" t="n">
        <v>10</v>
      </c>
      <c r="C102" s="15" t="s">
        <v>114</v>
      </c>
      <c r="D102" s="15" t="s">
        <v>151</v>
      </c>
      <c r="E102" s="17" t="s">
        <v>299</v>
      </c>
      <c r="F102" s="14"/>
    </row>
    <row r="103" customFormat="false" ht="15" hidden="false" customHeight="false" outlineLevel="0" collapsed="false">
      <c r="A103" s="15" t="s">
        <v>300</v>
      </c>
      <c r="B103" s="18" t="n">
        <v>5</v>
      </c>
      <c r="C103" s="15" t="s">
        <v>301</v>
      </c>
      <c r="D103" s="15" t="s">
        <v>226</v>
      </c>
      <c r="E103" s="17"/>
      <c r="F103" s="14"/>
    </row>
    <row r="104" customFormat="false" ht="15" hidden="false" customHeight="false" outlineLevel="0" collapsed="false">
      <c r="A104" s="4" t="s">
        <v>302</v>
      </c>
      <c r="B104" s="5"/>
      <c r="C104" s="5"/>
      <c r="D104" s="5"/>
      <c r="E104" s="5"/>
      <c r="F104" s="5"/>
    </row>
    <row r="105" customFormat="false" ht="15" hidden="false" customHeight="false" outlineLevel="0" collapsed="false">
      <c r="A105" s="15" t="s">
        <v>303</v>
      </c>
      <c r="B105" s="18" t="n">
        <v>4</v>
      </c>
      <c r="C105" s="15" t="s">
        <v>190</v>
      </c>
      <c r="D105" s="15" t="s">
        <v>151</v>
      </c>
      <c r="E105" s="17" t="s">
        <v>304</v>
      </c>
      <c r="F105" s="14" t="s">
        <v>305</v>
      </c>
    </row>
    <row r="106" customFormat="false" ht="15" hidden="false" customHeight="false" outlineLevel="0" collapsed="false">
      <c r="A106" s="15" t="s">
        <v>306</v>
      </c>
      <c r="B106" s="16" t="n">
        <v>0.25</v>
      </c>
      <c r="C106" s="15" t="s">
        <v>307</v>
      </c>
      <c r="D106" s="15" t="s">
        <v>151</v>
      </c>
      <c r="E106" s="17"/>
      <c r="F106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31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308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8" t="s">
        <v>309</v>
      </c>
      <c r="B4" s="8" t="s">
        <v>310</v>
      </c>
      <c r="C4" s="8" t="s">
        <v>92</v>
      </c>
      <c r="D4" s="8" t="s">
        <v>311</v>
      </c>
      <c r="E4" s="8" t="s">
        <v>312</v>
      </c>
      <c r="F4" s="8" t="s">
        <v>313</v>
      </c>
      <c r="G4" s="8" t="s">
        <v>314</v>
      </c>
      <c r="H4" s="8" t="s">
        <v>315</v>
      </c>
      <c r="I4" s="8" t="s">
        <v>316</v>
      </c>
    </row>
    <row r="5" customFormat="false" ht="15" hidden="false" customHeight="false" outlineLevel="0" collapsed="false">
      <c r="A5" s="10" t="s">
        <v>317</v>
      </c>
      <c r="B5" s="10" t="s">
        <v>318</v>
      </c>
      <c r="C5" s="10" t="s">
        <v>319</v>
      </c>
      <c r="D5" s="10" t="n">
        <v>1</v>
      </c>
      <c r="E5" s="10"/>
      <c r="F5" s="12" t="n">
        <f aca="false">MAX(1,12-2*D5)</f>
        <v>10</v>
      </c>
      <c r="G5" s="20" t="n">
        <f aca="false">F5/SUM($F$5:$F$42)</f>
        <v>0.0316455696202532</v>
      </c>
      <c r="H5" s="9" t="n">
        <f aca="false">COUNTIF(Dishes!$E$5:$G$29,A5)</f>
        <v>4</v>
      </c>
      <c r="I5" s="9" t="str">
        <f aca="false">IF(SUMPRODUCT((Dishes!$E$5:$G$29=A5)*(Dishes!$Y$5:$Y$29="Yes"))&gt;0,"Yes","No")</f>
        <v>Yes</v>
      </c>
    </row>
    <row r="6" customFormat="false" ht="15" hidden="false" customHeight="false" outlineLevel="0" collapsed="false">
      <c r="A6" s="10" t="s">
        <v>320</v>
      </c>
      <c r="B6" s="10" t="s">
        <v>321</v>
      </c>
      <c r="C6" s="10" t="s">
        <v>319</v>
      </c>
      <c r="D6" s="10" t="n">
        <v>2</v>
      </c>
      <c r="E6" s="10"/>
      <c r="F6" s="12" t="n">
        <f aca="false">MAX(1,12-2*D6)</f>
        <v>8</v>
      </c>
      <c r="G6" s="20" t="n">
        <f aca="false">F6/SUM($F$5:$F$42)</f>
        <v>0.0253164556962025</v>
      </c>
      <c r="H6" s="9" t="n">
        <f aca="false">COUNTIF(Dishes!$E$5:$G$29,A6)</f>
        <v>1</v>
      </c>
      <c r="I6" s="9" t="str">
        <f aca="false">IF(SUMPRODUCT((Dishes!$E$5:$G$29=A6)*(Dishes!$Y$5:$Y$29="Yes"))&gt;0,"Yes","No")</f>
        <v>Yes</v>
      </c>
    </row>
    <row r="7" customFormat="false" ht="15" hidden="false" customHeight="false" outlineLevel="0" collapsed="false">
      <c r="A7" s="10" t="s">
        <v>322</v>
      </c>
      <c r="B7" s="10" t="s">
        <v>323</v>
      </c>
      <c r="C7" s="10" t="s">
        <v>257</v>
      </c>
      <c r="D7" s="10" t="n">
        <v>1</v>
      </c>
      <c r="E7" s="10" t="n">
        <v>24</v>
      </c>
      <c r="F7" s="12" t="n">
        <f aca="false">MAX(1,12-2*D7)</f>
        <v>10</v>
      </c>
      <c r="G7" s="20" t="n">
        <f aca="false">F7/SUM($F$5:$F$42)</f>
        <v>0.0316455696202532</v>
      </c>
      <c r="H7" s="9" t="n">
        <f aca="false">COUNTIF(Dishes!$E$5:$G$29,A7)</f>
        <v>2</v>
      </c>
      <c r="I7" s="9" t="str">
        <f aca="false">IF(SUMPRODUCT((Dishes!$E$5:$G$29=A7)*(Dishes!$Y$5:$Y$29="Yes"))&gt;0,"Yes","No")</f>
        <v>Yes</v>
      </c>
    </row>
    <row r="8" customFormat="false" ht="15" hidden="false" customHeight="false" outlineLevel="0" collapsed="false">
      <c r="A8" s="10" t="s">
        <v>324</v>
      </c>
      <c r="B8" s="10" t="s">
        <v>325</v>
      </c>
      <c r="C8" s="10" t="s">
        <v>319</v>
      </c>
      <c r="D8" s="10" t="n">
        <v>1</v>
      </c>
      <c r="E8" s="10"/>
      <c r="F8" s="12" t="n">
        <f aca="false">MAX(1,12-2*D8)</f>
        <v>10</v>
      </c>
      <c r="G8" s="20" t="n">
        <f aca="false">F8/SUM($F$5:$F$42)</f>
        <v>0.0316455696202532</v>
      </c>
      <c r="H8" s="9" t="n">
        <f aca="false">COUNTIF(Dishes!$E$5:$G$29,A8)</f>
        <v>2</v>
      </c>
      <c r="I8" s="9" t="str">
        <f aca="false">IF(SUMPRODUCT((Dishes!$E$5:$G$29=A8)*(Dishes!$Y$5:$Y$29="Yes"))&gt;0,"Yes","No")</f>
        <v>Yes</v>
      </c>
    </row>
    <row r="9" customFormat="false" ht="15" hidden="false" customHeight="false" outlineLevel="0" collapsed="false">
      <c r="A9" s="10" t="s">
        <v>326</v>
      </c>
      <c r="B9" s="10" t="s">
        <v>327</v>
      </c>
      <c r="C9" s="10" t="s">
        <v>319</v>
      </c>
      <c r="D9" s="10" t="n">
        <v>1</v>
      </c>
      <c r="E9" s="10"/>
      <c r="F9" s="12" t="n">
        <f aca="false">MAX(1,12-2*D9)</f>
        <v>10</v>
      </c>
      <c r="G9" s="20" t="n">
        <f aca="false">F9/SUM($F$5:$F$42)</f>
        <v>0.0316455696202532</v>
      </c>
      <c r="H9" s="9" t="n">
        <f aca="false">COUNTIF(Dishes!$E$5:$G$29,A9)</f>
        <v>1</v>
      </c>
      <c r="I9" s="9" t="str">
        <f aca="false">IF(SUMPRODUCT((Dishes!$E$5:$G$29=A9)*(Dishes!$Y$5:$Y$29="Yes"))&gt;0,"Yes","No")</f>
        <v>Yes</v>
      </c>
    </row>
    <row r="10" customFormat="false" ht="15" hidden="false" customHeight="false" outlineLevel="0" collapsed="false">
      <c r="A10" s="10" t="s">
        <v>328</v>
      </c>
      <c r="B10" s="10" t="s">
        <v>329</v>
      </c>
      <c r="C10" s="10" t="s">
        <v>257</v>
      </c>
      <c r="D10" s="10" t="n">
        <v>2</v>
      </c>
      <c r="E10" s="10" t="n">
        <v>36</v>
      </c>
      <c r="F10" s="12" t="n">
        <f aca="false">MAX(1,12-2*D10)</f>
        <v>8</v>
      </c>
      <c r="G10" s="20" t="n">
        <f aca="false">F10/SUM($F$5:$F$42)</f>
        <v>0.0253164556962025</v>
      </c>
      <c r="H10" s="9" t="n">
        <f aca="false">COUNTIF(Dishes!$E$5:$G$29,A10)</f>
        <v>1</v>
      </c>
      <c r="I10" s="9" t="str">
        <f aca="false">IF(SUMPRODUCT((Dishes!$E$5:$G$29=A10)*(Dishes!$Y$5:$Y$29="Yes"))&gt;0,"Yes","No")</f>
        <v>Yes</v>
      </c>
    </row>
    <row r="11" customFormat="false" ht="15" hidden="false" customHeight="false" outlineLevel="0" collapsed="false">
      <c r="A11" s="10" t="s">
        <v>330</v>
      </c>
      <c r="B11" s="10" t="s">
        <v>331</v>
      </c>
      <c r="C11" s="10" t="s">
        <v>319</v>
      </c>
      <c r="D11" s="10" t="n">
        <v>1</v>
      </c>
      <c r="E11" s="10"/>
      <c r="F11" s="12" t="n">
        <f aca="false">MAX(1,12-2*D11)</f>
        <v>10</v>
      </c>
      <c r="G11" s="20" t="n">
        <f aca="false">F11/SUM($F$5:$F$42)</f>
        <v>0.0316455696202532</v>
      </c>
      <c r="H11" s="9" t="n">
        <f aca="false">COUNTIF(Dishes!$E$5:$G$29,A11)</f>
        <v>2</v>
      </c>
      <c r="I11" s="9" t="str">
        <f aca="false">IF(SUMPRODUCT((Dishes!$E$5:$G$29=A11)*(Dishes!$Y$5:$Y$29="Yes"))&gt;0,"Yes","No")</f>
        <v>Yes</v>
      </c>
    </row>
    <row r="12" customFormat="false" ht="15" hidden="false" customHeight="false" outlineLevel="0" collapsed="false">
      <c r="A12" s="10" t="s">
        <v>332</v>
      </c>
      <c r="B12" s="10" t="s">
        <v>333</v>
      </c>
      <c r="C12" s="10" t="s">
        <v>319</v>
      </c>
      <c r="D12" s="10" t="n">
        <v>3</v>
      </c>
      <c r="E12" s="10"/>
      <c r="F12" s="12" t="n">
        <f aca="false">MAX(1,12-2*D12)</f>
        <v>6</v>
      </c>
      <c r="G12" s="20" t="n">
        <f aca="false">F12/SUM($F$5:$F$42)</f>
        <v>0.0189873417721519</v>
      </c>
      <c r="H12" s="9" t="n">
        <f aca="false">COUNTIF(Dishes!$E$5:$G$29,A12)</f>
        <v>2</v>
      </c>
      <c r="I12" s="9" t="str">
        <f aca="false">IF(SUMPRODUCT((Dishes!$E$5:$G$29=A12)*(Dishes!$Y$5:$Y$29="Yes"))&gt;0,"Yes","No")</f>
        <v>Yes</v>
      </c>
    </row>
    <row r="13" customFormat="false" ht="15" hidden="false" customHeight="false" outlineLevel="0" collapsed="false">
      <c r="A13" s="10" t="s">
        <v>334</v>
      </c>
      <c r="B13" s="10" t="s">
        <v>335</v>
      </c>
      <c r="C13" s="10" t="s">
        <v>319</v>
      </c>
      <c r="D13" s="10" t="n">
        <v>1</v>
      </c>
      <c r="E13" s="10"/>
      <c r="F13" s="12" t="n">
        <f aca="false">MAX(1,12-2*D13)</f>
        <v>10</v>
      </c>
      <c r="G13" s="20" t="n">
        <f aca="false">F13/SUM($F$5:$F$42)</f>
        <v>0.0316455696202532</v>
      </c>
      <c r="H13" s="9" t="n">
        <f aca="false">COUNTIF(Dishes!$E$5:$G$29,A13)</f>
        <v>2</v>
      </c>
      <c r="I13" s="9" t="str">
        <f aca="false">IF(SUMPRODUCT((Dishes!$E$5:$G$29=A13)*(Dishes!$Y$5:$Y$29="Yes"))&gt;0,"Yes","No")</f>
        <v>Yes</v>
      </c>
    </row>
    <row r="14" customFormat="false" ht="15" hidden="false" customHeight="false" outlineLevel="0" collapsed="false">
      <c r="A14" s="10" t="s">
        <v>336</v>
      </c>
      <c r="B14" s="10" t="s">
        <v>337</v>
      </c>
      <c r="C14" s="10" t="s">
        <v>319</v>
      </c>
      <c r="D14" s="10" t="n">
        <v>1</v>
      </c>
      <c r="E14" s="10"/>
      <c r="F14" s="12" t="n">
        <f aca="false">MAX(1,12-2*D14)</f>
        <v>10</v>
      </c>
      <c r="G14" s="20" t="n">
        <f aca="false">F14/SUM($F$5:$F$42)</f>
        <v>0.0316455696202532</v>
      </c>
      <c r="H14" s="9" t="n">
        <f aca="false">COUNTIF(Dishes!$E$5:$G$29,A14)</f>
        <v>5</v>
      </c>
      <c r="I14" s="9" t="str">
        <f aca="false">IF(SUMPRODUCT((Dishes!$E$5:$G$29=A14)*(Dishes!$Y$5:$Y$29="Yes"))&gt;0,"Yes","No")</f>
        <v>Yes</v>
      </c>
    </row>
    <row r="15" customFormat="false" ht="15" hidden="false" customHeight="false" outlineLevel="0" collapsed="false">
      <c r="A15" s="10" t="s">
        <v>338</v>
      </c>
      <c r="B15" s="10" t="s">
        <v>339</v>
      </c>
      <c r="C15" s="10" t="s">
        <v>319</v>
      </c>
      <c r="D15" s="10" t="n">
        <v>2</v>
      </c>
      <c r="E15" s="10"/>
      <c r="F15" s="12" t="n">
        <f aca="false">MAX(1,12-2*D15)</f>
        <v>8</v>
      </c>
      <c r="G15" s="20" t="n">
        <f aca="false">F15/SUM($F$5:$F$42)</f>
        <v>0.0253164556962025</v>
      </c>
      <c r="H15" s="9" t="n">
        <f aca="false">COUNTIF(Dishes!$E$5:$G$29,A15)</f>
        <v>2</v>
      </c>
      <c r="I15" s="9" t="str">
        <f aca="false">IF(SUMPRODUCT((Dishes!$E$5:$G$29=A15)*(Dishes!$Y$5:$Y$29="Yes"))&gt;0,"Yes","No")</f>
        <v>Yes</v>
      </c>
    </row>
    <row r="16" customFormat="false" ht="15" hidden="false" customHeight="false" outlineLevel="0" collapsed="false">
      <c r="A16" s="10" t="s">
        <v>340</v>
      </c>
      <c r="B16" s="10" t="s">
        <v>341</v>
      </c>
      <c r="C16" s="10" t="s">
        <v>319</v>
      </c>
      <c r="D16" s="10" t="n">
        <v>2</v>
      </c>
      <c r="E16" s="10"/>
      <c r="F16" s="12" t="n">
        <f aca="false">MAX(1,12-2*D16)</f>
        <v>8</v>
      </c>
      <c r="G16" s="20" t="n">
        <f aca="false">F16/SUM($F$5:$F$42)</f>
        <v>0.0253164556962025</v>
      </c>
      <c r="H16" s="9" t="n">
        <f aca="false">COUNTIF(Dishes!$E$5:$G$29,A16)</f>
        <v>1</v>
      </c>
      <c r="I16" s="9" t="str">
        <f aca="false">IF(SUMPRODUCT((Dishes!$E$5:$G$29=A16)*(Dishes!$Y$5:$Y$29="Yes"))&gt;0,"Yes","No")</f>
        <v>Yes</v>
      </c>
    </row>
    <row r="17" customFormat="false" ht="15" hidden="false" customHeight="false" outlineLevel="0" collapsed="false">
      <c r="A17" s="10" t="s">
        <v>342</v>
      </c>
      <c r="B17" s="10" t="s">
        <v>343</v>
      </c>
      <c r="C17" s="10" t="s">
        <v>319</v>
      </c>
      <c r="D17" s="10" t="n">
        <v>1</v>
      </c>
      <c r="E17" s="10"/>
      <c r="F17" s="12" t="n">
        <f aca="false">MAX(1,12-2*D17)</f>
        <v>10</v>
      </c>
      <c r="G17" s="20" t="n">
        <f aca="false">F17/SUM($F$5:$F$42)</f>
        <v>0.0316455696202532</v>
      </c>
      <c r="H17" s="9" t="n">
        <f aca="false">COUNTIF(Dishes!$E$5:$G$29,A17)</f>
        <v>5</v>
      </c>
      <c r="I17" s="9" t="str">
        <f aca="false">IF(SUMPRODUCT((Dishes!$E$5:$G$29=A17)*(Dishes!$Y$5:$Y$29="Yes"))&gt;0,"Yes","No")</f>
        <v>Yes</v>
      </c>
    </row>
    <row r="18" customFormat="false" ht="15" hidden="false" customHeight="false" outlineLevel="0" collapsed="false">
      <c r="A18" s="10" t="s">
        <v>344</v>
      </c>
      <c r="B18" s="10" t="s">
        <v>345</v>
      </c>
      <c r="C18" s="10" t="s">
        <v>319</v>
      </c>
      <c r="D18" s="10" t="n">
        <v>3</v>
      </c>
      <c r="E18" s="10"/>
      <c r="F18" s="12" t="n">
        <f aca="false">MAX(1,12-2*D18)</f>
        <v>6</v>
      </c>
      <c r="G18" s="20" t="n">
        <f aca="false">F18/SUM($F$5:$F$42)</f>
        <v>0.0189873417721519</v>
      </c>
      <c r="H18" s="9" t="n">
        <f aca="false">COUNTIF(Dishes!$E$5:$G$29,A18)</f>
        <v>1</v>
      </c>
      <c r="I18" s="9" t="str">
        <f aca="false">IF(SUMPRODUCT((Dishes!$E$5:$G$29=A18)*(Dishes!$Y$5:$Y$29="Yes"))&gt;0,"Yes","No")</f>
        <v>No</v>
      </c>
    </row>
    <row r="19" customFormat="false" ht="15" hidden="false" customHeight="false" outlineLevel="0" collapsed="false">
      <c r="A19" s="10" t="s">
        <v>346</v>
      </c>
      <c r="B19" s="10" t="s">
        <v>347</v>
      </c>
      <c r="C19" s="10" t="s">
        <v>319</v>
      </c>
      <c r="D19" s="10" t="n">
        <v>3</v>
      </c>
      <c r="E19" s="10"/>
      <c r="F19" s="12" t="n">
        <f aca="false">MAX(1,12-2*D19)</f>
        <v>6</v>
      </c>
      <c r="G19" s="20" t="n">
        <f aca="false">F19/SUM($F$5:$F$42)</f>
        <v>0.0189873417721519</v>
      </c>
      <c r="H19" s="9" t="n">
        <f aca="false">COUNTIF(Dishes!$E$5:$G$29,A19)</f>
        <v>1</v>
      </c>
      <c r="I19" s="9" t="str">
        <f aca="false">IF(SUMPRODUCT((Dishes!$E$5:$G$29=A19)*(Dishes!$Y$5:$Y$29="Yes"))&gt;0,"Yes","No")</f>
        <v>No</v>
      </c>
    </row>
    <row r="20" customFormat="false" ht="15" hidden="false" customHeight="false" outlineLevel="0" collapsed="false">
      <c r="A20" s="10" t="s">
        <v>348</v>
      </c>
      <c r="B20" s="10" t="s">
        <v>349</v>
      </c>
      <c r="C20" s="10" t="s">
        <v>319</v>
      </c>
      <c r="D20" s="10" t="n">
        <v>4</v>
      </c>
      <c r="E20" s="10"/>
      <c r="F20" s="12" t="n">
        <f aca="false">MAX(1,12-2*D20)</f>
        <v>4</v>
      </c>
      <c r="G20" s="20" t="n">
        <f aca="false">F20/SUM($F$5:$F$42)</f>
        <v>0.0126582278481013</v>
      </c>
      <c r="H20" s="9" t="n">
        <f aca="false">COUNTIF(Dishes!$E$5:$G$29,A20)</f>
        <v>2</v>
      </c>
      <c r="I20" s="9" t="str">
        <f aca="false">IF(SUMPRODUCT((Dishes!$E$5:$G$29=A20)*(Dishes!$Y$5:$Y$29="Yes"))&gt;0,"Yes","No")</f>
        <v>No</v>
      </c>
    </row>
    <row r="21" customFormat="false" ht="15" hidden="false" customHeight="false" outlineLevel="0" collapsed="false">
      <c r="A21" s="10" t="s">
        <v>350</v>
      </c>
      <c r="B21" s="10" t="s">
        <v>351</v>
      </c>
      <c r="C21" s="10" t="s">
        <v>319</v>
      </c>
      <c r="D21" s="10" t="n">
        <v>1</v>
      </c>
      <c r="E21" s="10"/>
      <c r="F21" s="12" t="n">
        <f aca="false">MAX(1,12-2*D21)</f>
        <v>10</v>
      </c>
      <c r="G21" s="20" t="n">
        <f aca="false">F21/SUM($F$5:$F$42)</f>
        <v>0.0316455696202532</v>
      </c>
      <c r="H21" s="9" t="n">
        <f aca="false">COUNTIF(Dishes!$E$5:$G$29,A21)</f>
        <v>7</v>
      </c>
      <c r="I21" s="9" t="str">
        <f aca="false">IF(SUMPRODUCT((Dishes!$E$5:$G$29=A21)*(Dishes!$Y$5:$Y$29="Yes"))&gt;0,"Yes","No")</f>
        <v>Yes</v>
      </c>
    </row>
    <row r="22" customFormat="false" ht="15" hidden="false" customHeight="false" outlineLevel="0" collapsed="false">
      <c r="A22" s="10" t="s">
        <v>352</v>
      </c>
      <c r="B22" s="10" t="s">
        <v>353</v>
      </c>
      <c r="C22" s="10" t="s">
        <v>319</v>
      </c>
      <c r="D22" s="10" t="n">
        <v>1</v>
      </c>
      <c r="E22" s="10"/>
      <c r="F22" s="12" t="n">
        <f aca="false">MAX(1,12-2*D22)</f>
        <v>10</v>
      </c>
      <c r="G22" s="20" t="n">
        <f aca="false">F22/SUM($F$5:$F$42)</f>
        <v>0.0316455696202532</v>
      </c>
      <c r="H22" s="9" t="n">
        <f aca="false">COUNTIF(Dishes!$E$5:$G$29,A22)</f>
        <v>6</v>
      </c>
      <c r="I22" s="9" t="str">
        <f aca="false">IF(SUMPRODUCT((Dishes!$E$5:$G$29=A22)*(Dishes!$Y$5:$Y$29="Yes"))&gt;0,"Yes","No")</f>
        <v>No</v>
      </c>
    </row>
    <row r="23" customFormat="false" ht="15" hidden="false" customHeight="false" outlineLevel="0" collapsed="false">
      <c r="A23" s="10" t="s">
        <v>354</v>
      </c>
      <c r="B23" s="10" t="s">
        <v>355</v>
      </c>
      <c r="C23" s="10" t="s">
        <v>319</v>
      </c>
      <c r="D23" s="10" t="n">
        <v>3</v>
      </c>
      <c r="E23" s="10"/>
      <c r="F23" s="12" t="n">
        <f aca="false">MAX(1,12-2*D23)</f>
        <v>6</v>
      </c>
      <c r="G23" s="20" t="n">
        <f aca="false">F23/SUM($F$5:$F$42)</f>
        <v>0.0189873417721519</v>
      </c>
      <c r="H23" s="9" t="n">
        <f aca="false">COUNTIF(Dishes!$E$5:$G$29,A23)</f>
        <v>2</v>
      </c>
      <c r="I23" s="9" t="str">
        <f aca="false">IF(SUMPRODUCT((Dishes!$E$5:$G$29=A23)*(Dishes!$Y$5:$Y$29="Yes"))&gt;0,"Yes","No")</f>
        <v>No</v>
      </c>
    </row>
    <row r="24" customFormat="false" ht="15" hidden="false" customHeight="false" outlineLevel="0" collapsed="false">
      <c r="A24" s="10" t="s">
        <v>356</v>
      </c>
      <c r="B24" s="10" t="s">
        <v>357</v>
      </c>
      <c r="C24" s="10" t="s">
        <v>319</v>
      </c>
      <c r="D24" s="10" t="n">
        <v>3</v>
      </c>
      <c r="E24" s="10"/>
      <c r="F24" s="12" t="n">
        <f aca="false">MAX(1,12-2*D24)</f>
        <v>6</v>
      </c>
      <c r="G24" s="20" t="n">
        <f aca="false">F24/SUM($F$5:$F$42)</f>
        <v>0.0189873417721519</v>
      </c>
      <c r="H24" s="9" t="n">
        <f aca="false">COUNTIF(Dishes!$E$5:$G$29,A24)</f>
        <v>1</v>
      </c>
      <c r="I24" s="9" t="str">
        <f aca="false">IF(SUMPRODUCT((Dishes!$E$5:$G$29=A24)*(Dishes!$Y$5:$Y$29="Yes"))&gt;0,"Yes","No")</f>
        <v>No</v>
      </c>
    </row>
    <row r="25" customFormat="false" ht="15" hidden="false" customHeight="false" outlineLevel="0" collapsed="false">
      <c r="A25" s="10" t="s">
        <v>358</v>
      </c>
      <c r="B25" s="10" t="s">
        <v>359</v>
      </c>
      <c r="C25" s="10" t="s">
        <v>257</v>
      </c>
      <c r="D25" s="10" t="n">
        <v>1</v>
      </c>
      <c r="E25" s="10" t="n">
        <v>24</v>
      </c>
      <c r="F25" s="12" t="n">
        <f aca="false">MAX(1,12-2*D25)</f>
        <v>10</v>
      </c>
      <c r="G25" s="20" t="n">
        <f aca="false">F25/SUM($F$5:$F$42)</f>
        <v>0.0316455696202532</v>
      </c>
      <c r="H25" s="9" t="n">
        <f aca="false">COUNTIF(Dishes!$E$5:$G$29,A25)</f>
        <v>1</v>
      </c>
      <c r="I25" s="9" t="str">
        <f aca="false">IF(SUMPRODUCT((Dishes!$E$5:$G$29=A25)*(Dishes!$Y$5:$Y$29="Yes"))&gt;0,"Yes","No")</f>
        <v>No</v>
      </c>
    </row>
    <row r="26" customFormat="false" ht="15" hidden="false" customHeight="false" outlineLevel="0" collapsed="false">
      <c r="A26" s="10" t="s">
        <v>360</v>
      </c>
      <c r="B26" s="10" t="s">
        <v>361</v>
      </c>
      <c r="C26" s="10" t="s">
        <v>257</v>
      </c>
      <c r="D26" s="10" t="n">
        <v>2</v>
      </c>
      <c r="E26" s="10" t="n">
        <v>48</v>
      </c>
      <c r="F26" s="12" t="n">
        <f aca="false">MAX(1,12-2*D26)</f>
        <v>8</v>
      </c>
      <c r="G26" s="20" t="n">
        <f aca="false">F26/SUM($F$5:$F$42)</f>
        <v>0.0253164556962025</v>
      </c>
      <c r="H26" s="9" t="n">
        <f aca="false">COUNTIF(Dishes!$E$5:$G$29,A26)</f>
        <v>1</v>
      </c>
      <c r="I26" s="9" t="str">
        <f aca="false">IF(SUMPRODUCT((Dishes!$E$5:$G$29=A26)*(Dishes!$Y$5:$Y$29="Yes"))&gt;0,"Yes","No")</f>
        <v>No</v>
      </c>
    </row>
    <row r="27" customFormat="false" ht="15" hidden="false" customHeight="false" outlineLevel="0" collapsed="false">
      <c r="A27" s="10" t="s">
        <v>362</v>
      </c>
      <c r="B27" s="10" t="s">
        <v>363</v>
      </c>
      <c r="C27" s="10" t="s">
        <v>319</v>
      </c>
      <c r="D27" s="10" t="n">
        <v>2</v>
      </c>
      <c r="E27" s="10"/>
      <c r="F27" s="12" t="n">
        <f aca="false">MAX(1,12-2*D27)</f>
        <v>8</v>
      </c>
      <c r="G27" s="20" t="n">
        <f aca="false">F27/SUM($F$5:$F$42)</f>
        <v>0.0253164556962025</v>
      </c>
      <c r="H27" s="9" t="n">
        <f aca="false">COUNTIF(Dishes!$E$5:$G$29,A27)</f>
        <v>1</v>
      </c>
      <c r="I27" s="9" t="str">
        <f aca="false">IF(SUMPRODUCT((Dishes!$E$5:$G$29=A27)*(Dishes!$Y$5:$Y$29="Yes"))&gt;0,"Yes","No")</f>
        <v>No</v>
      </c>
    </row>
    <row r="28" customFormat="false" ht="15" hidden="false" customHeight="false" outlineLevel="0" collapsed="false">
      <c r="A28" s="10" t="s">
        <v>364</v>
      </c>
      <c r="B28" s="10" t="s">
        <v>365</v>
      </c>
      <c r="C28" s="10" t="s">
        <v>257</v>
      </c>
      <c r="D28" s="10" t="n">
        <v>1</v>
      </c>
      <c r="E28" s="10" t="n">
        <v>36</v>
      </c>
      <c r="F28" s="12" t="n">
        <f aca="false">MAX(1,12-2*D28)</f>
        <v>10</v>
      </c>
      <c r="G28" s="20" t="n">
        <f aca="false">F28/SUM($F$5:$F$42)</f>
        <v>0.0316455696202532</v>
      </c>
      <c r="H28" s="9" t="n">
        <f aca="false">COUNTIF(Dishes!$E$5:$G$29,A28)</f>
        <v>1</v>
      </c>
      <c r="I28" s="9" t="str">
        <f aca="false">IF(SUMPRODUCT((Dishes!$E$5:$G$29=A28)*(Dishes!$Y$5:$Y$29="Yes"))&gt;0,"Yes","No")</f>
        <v>Yes</v>
      </c>
    </row>
    <row r="29" customFormat="false" ht="15" hidden="false" customHeight="false" outlineLevel="0" collapsed="false">
      <c r="A29" s="10" t="s">
        <v>366</v>
      </c>
      <c r="B29" s="10" t="s">
        <v>367</v>
      </c>
      <c r="C29" s="10" t="s">
        <v>319</v>
      </c>
      <c r="D29" s="10" t="n">
        <v>2</v>
      </c>
      <c r="E29" s="10"/>
      <c r="F29" s="12" t="n">
        <f aca="false">MAX(1,12-2*D29)</f>
        <v>8</v>
      </c>
      <c r="G29" s="20" t="n">
        <f aca="false">F29/SUM($F$5:$F$42)</f>
        <v>0.0253164556962025</v>
      </c>
      <c r="H29" s="9" t="n">
        <f aca="false">COUNTIF(Dishes!$E$5:$G$29,A29)</f>
        <v>4</v>
      </c>
      <c r="I29" s="9" t="str">
        <f aca="false">IF(SUMPRODUCT((Dishes!$E$5:$G$29=A29)*(Dishes!$Y$5:$Y$29="Yes"))&gt;0,"Yes","No")</f>
        <v>Yes</v>
      </c>
    </row>
    <row r="30" customFormat="false" ht="15" hidden="false" customHeight="false" outlineLevel="0" collapsed="false">
      <c r="A30" s="10" t="s">
        <v>368</v>
      </c>
      <c r="B30" s="10" t="s">
        <v>369</v>
      </c>
      <c r="C30" s="10" t="s">
        <v>319</v>
      </c>
      <c r="D30" s="10" t="n">
        <v>1</v>
      </c>
      <c r="E30" s="10"/>
      <c r="F30" s="12" t="n">
        <f aca="false">MAX(1,12-2*D30)</f>
        <v>10</v>
      </c>
      <c r="G30" s="20" t="n">
        <f aca="false">F30/SUM($F$5:$F$42)</f>
        <v>0.0316455696202532</v>
      </c>
      <c r="H30" s="9" t="n">
        <f aca="false">COUNTIF(Dishes!$E$5:$G$29,A30)</f>
        <v>2</v>
      </c>
      <c r="I30" s="9" t="str">
        <f aca="false">IF(SUMPRODUCT((Dishes!$E$5:$G$29=A30)*(Dishes!$Y$5:$Y$29="Yes"))&gt;0,"Yes","No")</f>
        <v>No</v>
      </c>
    </row>
    <row r="31" customFormat="false" ht="15" hidden="false" customHeight="false" outlineLevel="0" collapsed="false">
      <c r="A31" s="10" t="s">
        <v>370</v>
      </c>
      <c r="B31" s="10" t="s">
        <v>371</v>
      </c>
      <c r="C31" s="10" t="s">
        <v>257</v>
      </c>
      <c r="D31" s="10" t="n">
        <v>3</v>
      </c>
      <c r="E31" s="10" t="n">
        <v>48</v>
      </c>
      <c r="F31" s="12" t="n">
        <f aca="false">MAX(1,12-2*D31)</f>
        <v>6</v>
      </c>
      <c r="G31" s="20" t="n">
        <f aca="false">F31/SUM($F$5:$F$42)</f>
        <v>0.0189873417721519</v>
      </c>
      <c r="H31" s="9" t="n">
        <f aca="false">COUNTIF(Dishes!$E$5:$G$29,A31)</f>
        <v>1</v>
      </c>
      <c r="I31" s="9" t="str">
        <f aca="false">IF(SUMPRODUCT((Dishes!$E$5:$G$29=A31)*(Dishes!$Y$5:$Y$29="Yes"))&gt;0,"Yes","No")</f>
        <v>No</v>
      </c>
    </row>
    <row r="32" customFormat="false" ht="15" hidden="false" customHeight="false" outlineLevel="0" collapsed="false">
      <c r="A32" s="10" t="s">
        <v>372</v>
      </c>
      <c r="B32" s="10" t="s">
        <v>373</v>
      </c>
      <c r="C32" s="10" t="s">
        <v>319</v>
      </c>
      <c r="D32" s="10" t="n">
        <v>4</v>
      </c>
      <c r="E32" s="10"/>
      <c r="F32" s="12" t="n">
        <f aca="false">MAX(1,12-2*D32)</f>
        <v>4</v>
      </c>
      <c r="G32" s="20" t="n">
        <f aca="false">F32/SUM($F$5:$F$42)</f>
        <v>0.0126582278481013</v>
      </c>
      <c r="H32" s="9" t="n">
        <f aca="false">COUNTIF(Dishes!$E$5:$G$29,A32)</f>
        <v>1</v>
      </c>
      <c r="I32" s="9" t="str">
        <f aca="false">IF(SUMPRODUCT((Dishes!$E$5:$G$29=A32)*(Dishes!$Y$5:$Y$29="Yes"))&gt;0,"Yes","No")</f>
        <v>No</v>
      </c>
    </row>
    <row r="33" customFormat="false" ht="15" hidden="false" customHeight="false" outlineLevel="0" collapsed="false">
      <c r="A33" s="10" t="s">
        <v>374</v>
      </c>
      <c r="B33" s="10" t="s">
        <v>375</v>
      </c>
      <c r="C33" s="10" t="s">
        <v>319</v>
      </c>
      <c r="D33" s="10" t="n">
        <v>2</v>
      </c>
      <c r="E33" s="10"/>
      <c r="F33" s="12" t="n">
        <f aca="false">MAX(1,12-2*D33)</f>
        <v>8</v>
      </c>
      <c r="G33" s="20" t="n">
        <f aca="false">F33/SUM($F$5:$F$42)</f>
        <v>0.0253164556962025</v>
      </c>
      <c r="H33" s="9" t="n">
        <f aca="false">COUNTIF(Dishes!$E$5:$G$29,A33)</f>
        <v>1</v>
      </c>
      <c r="I33" s="9" t="str">
        <f aca="false">IF(SUMPRODUCT((Dishes!$E$5:$G$29=A33)*(Dishes!$Y$5:$Y$29="Yes"))&gt;0,"Yes","No")</f>
        <v>No</v>
      </c>
    </row>
    <row r="34" customFormat="false" ht="15" hidden="false" customHeight="false" outlineLevel="0" collapsed="false">
      <c r="A34" s="10" t="s">
        <v>376</v>
      </c>
      <c r="B34" s="10" t="s">
        <v>377</v>
      </c>
      <c r="C34" s="10" t="s">
        <v>319</v>
      </c>
      <c r="D34" s="10" t="n">
        <v>2</v>
      </c>
      <c r="E34" s="10"/>
      <c r="F34" s="12" t="n">
        <f aca="false">MAX(1,12-2*D34)</f>
        <v>8</v>
      </c>
      <c r="G34" s="20" t="n">
        <f aca="false">F34/SUM($F$5:$F$42)</f>
        <v>0.0253164556962025</v>
      </c>
      <c r="H34" s="9" t="n">
        <f aca="false">COUNTIF(Dishes!$E$5:$G$29,A34)</f>
        <v>1</v>
      </c>
      <c r="I34" s="9" t="str">
        <f aca="false">IF(SUMPRODUCT((Dishes!$E$5:$G$29=A34)*(Dishes!$Y$5:$Y$29="Yes"))&gt;0,"Yes","No")</f>
        <v>Yes</v>
      </c>
    </row>
    <row r="35" customFormat="false" ht="15" hidden="false" customHeight="false" outlineLevel="0" collapsed="false">
      <c r="A35" s="10" t="s">
        <v>378</v>
      </c>
      <c r="B35" s="10" t="s">
        <v>379</v>
      </c>
      <c r="C35" s="10" t="s">
        <v>319</v>
      </c>
      <c r="D35" s="10" t="n">
        <v>1</v>
      </c>
      <c r="E35" s="10"/>
      <c r="F35" s="12" t="n">
        <f aca="false">MAX(1,12-2*D35)</f>
        <v>10</v>
      </c>
      <c r="G35" s="20" t="n">
        <f aca="false">F35/SUM($F$5:$F$42)</f>
        <v>0.0316455696202532</v>
      </c>
      <c r="H35" s="9" t="n">
        <f aca="false">COUNTIF(Dishes!$E$5:$G$29,A35)</f>
        <v>2</v>
      </c>
      <c r="I35" s="9" t="str">
        <f aca="false">IF(SUMPRODUCT((Dishes!$E$5:$G$29=A35)*(Dishes!$Y$5:$Y$29="Yes"))&gt;0,"Yes","No")</f>
        <v>Yes</v>
      </c>
    </row>
    <row r="36" customFormat="false" ht="15" hidden="false" customHeight="false" outlineLevel="0" collapsed="false">
      <c r="A36" s="10" t="s">
        <v>380</v>
      </c>
      <c r="B36" s="10" t="s">
        <v>381</v>
      </c>
      <c r="C36" s="10" t="s">
        <v>319</v>
      </c>
      <c r="D36" s="10" t="n">
        <v>2</v>
      </c>
      <c r="E36" s="10"/>
      <c r="F36" s="12" t="n">
        <f aca="false">MAX(1,12-2*D36)</f>
        <v>8</v>
      </c>
      <c r="G36" s="20" t="n">
        <f aca="false">F36/SUM($F$5:$F$42)</f>
        <v>0.0253164556962025</v>
      </c>
      <c r="H36" s="9" t="n">
        <f aca="false">COUNTIF(Dishes!$E$5:$G$29,A36)</f>
        <v>1</v>
      </c>
      <c r="I36" s="9" t="str">
        <f aca="false">IF(SUMPRODUCT((Dishes!$E$5:$G$29=A36)*(Dishes!$Y$5:$Y$29="Yes"))&gt;0,"Yes","No")</f>
        <v>No</v>
      </c>
    </row>
    <row r="37" customFormat="false" ht="15" hidden="false" customHeight="false" outlineLevel="0" collapsed="false">
      <c r="A37" s="10" t="s">
        <v>382</v>
      </c>
      <c r="B37" s="10" t="s">
        <v>383</v>
      </c>
      <c r="C37" s="10" t="s">
        <v>257</v>
      </c>
      <c r="D37" s="10" t="n">
        <v>1</v>
      </c>
      <c r="E37" s="10" t="n">
        <v>24</v>
      </c>
      <c r="F37" s="12" t="n">
        <f aca="false">MAX(1,12-2*D37)</f>
        <v>10</v>
      </c>
      <c r="G37" s="20" t="n">
        <f aca="false">F37/SUM($F$5:$F$42)</f>
        <v>0.0316455696202532</v>
      </c>
      <c r="H37" s="9" t="n">
        <f aca="false">COUNTIF(Dishes!$E$5:$G$29,A37)</f>
        <v>1</v>
      </c>
      <c r="I37" s="9" t="str">
        <f aca="false">IF(SUMPRODUCT((Dishes!$E$5:$G$29=A37)*(Dishes!$Y$5:$Y$29="Yes"))&gt;0,"Yes","No")</f>
        <v>No</v>
      </c>
    </row>
    <row r="38" customFormat="false" ht="15" hidden="false" customHeight="false" outlineLevel="0" collapsed="false">
      <c r="A38" s="10" t="s">
        <v>384</v>
      </c>
      <c r="B38" s="10" t="s">
        <v>385</v>
      </c>
      <c r="C38" s="10" t="s">
        <v>257</v>
      </c>
      <c r="D38" s="10" t="n">
        <v>2</v>
      </c>
      <c r="E38" s="10" t="n">
        <v>48</v>
      </c>
      <c r="F38" s="12" t="n">
        <f aca="false">MAX(1,12-2*D38)</f>
        <v>8</v>
      </c>
      <c r="G38" s="20" t="n">
        <f aca="false">F38/SUM($F$5:$F$42)</f>
        <v>0.0253164556962025</v>
      </c>
      <c r="H38" s="9" t="n">
        <f aca="false">COUNTIF(Dishes!$E$5:$G$29,A38)</f>
        <v>1</v>
      </c>
      <c r="I38" s="9" t="str">
        <f aca="false">IF(SUMPRODUCT((Dishes!$E$5:$G$29=A38)*(Dishes!$Y$5:$Y$29="Yes"))&gt;0,"Yes","No")</f>
        <v>No</v>
      </c>
    </row>
    <row r="39" customFormat="false" ht="15" hidden="false" customHeight="false" outlineLevel="0" collapsed="false">
      <c r="A39" s="10" t="s">
        <v>386</v>
      </c>
      <c r="B39" s="10" t="s">
        <v>387</v>
      </c>
      <c r="C39" s="10" t="s">
        <v>319</v>
      </c>
      <c r="D39" s="10" t="n">
        <v>1</v>
      </c>
      <c r="E39" s="10"/>
      <c r="F39" s="12" t="n">
        <f aca="false">MAX(1,12-2*D39)</f>
        <v>10</v>
      </c>
      <c r="G39" s="20" t="n">
        <f aca="false">F39/SUM($F$5:$F$42)</f>
        <v>0.0316455696202532</v>
      </c>
      <c r="H39" s="9" t="n">
        <f aca="false">COUNTIF(Dishes!$E$5:$G$29,A39)</f>
        <v>3</v>
      </c>
      <c r="I39" s="9" t="str">
        <f aca="false">IF(SUMPRODUCT((Dishes!$E$5:$G$29=A39)*(Dishes!$Y$5:$Y$29="Yes"))&gt;0,"Yes","No")</f>
        <v>No</v>
      </c>
    </row>
    <row r="40" customFormat="false" ht="15" hidden="false" customHeight="false" outlineLevel="0" collapsed="false">
      <c r="A40" s="10" t="s">
        <v>388</v>
      </c>
      <c r="B40" s="10" t="s">
        <v>389</v>
      </c>
      <c r="C40" s="10" t="s">
        <v>319</v>
      </c>
      <c r="D40" s="10" t="n">
        <v>1</v>
      </c>
      <c r="E40" s="10"/>
      <c r="F40" s="12" t="n">
        <f aca="false">MAX(1,12-2*D40)</f>
        <v>10</v>
      </c>
      <c r="G40" s="20" t="n">
        <f aca="false">F40/SUM($F$5:$F$42)</f>
        <v>0.0316455696202532</v>
      </c>
      <c r="H40" s="9" t="n">
        <f aca="false">COUNTIF(Dishes!$E$5:$G$29,A40)</f>
        <v>1</v>
      </c>
      <c r="I40" s="9" t="str">
        <f aca="false">IF(SUMPRODUCT((Dishes!$E$5:$G$29=A40)*(Dishes!$Y$5:$Y$29="Yes"))&gt;0,"Yes","No")</f>
        <v>No</v>
      </c>
    </row>
    <row r="41" customFormat="false" ht="15" hidden="false" customHeight="false" outlineLevel="0" collapsed="false">
      <c r="A41" s="10" t="s">
        <v>390</v>
      </c>
      <c r="B41" s="10" t="s">
        <v>391</v>
      </c>
      <c r="C41" s="10" t="s">
        <v>257</v>
      </c>
      <c r="D41" s="10" t="n">
        <v>2</v>
      </c>
      <c r="E41" s="10" t="n">
        <v>36</v>
      </c>
      <c r="F41" s="12" t="n">
        <f aca="false">MAX(1,12-2*D41)</f>
        <v>8</v>
      </c>
      <c r="G41" s="20" t="n">
        <f aca="false">F41/SUM($F$5:$F$42)</f>
        <v>0.0253164556962025</v>
      </c>
      <c r="H41" s="9" t="n">
        <f aca="false">COUNTIF(Dishes!$E$5:$G$29,A41)</f>
        <v>1</v>
      </c>
      <c r="I41" s="9" t="str">
        <f aca="false">IF(SUMPRODUCT((Dishes!$E$5:$G$29=A41)*(Dishes!$Y$5:$Y$29="Yes"))&gt;0,"Yes","No")</f>
        <v>No</v>
      </c>
    </row>
    <row r="42" customFormat="false" ht="15" hidden="false" customHeight="false" outlineLevel="0" collapsed="false">
      <c r="A42" s="10" t="s">
        <v>392</v>
      </c>
      <c r="B42" s="10" t="s">
        <v>393</v>
      </c>
      <c r="C42" s="10" t="s">
        <v>257</v>
      </c>
      <c r="D42" s="10" t="n">
        <v>3</v>
      </c>
      <c r="E42" s="10" t="n">
        <v>48</v>
      </c>
      <c r="F42" s="12" t="n">
        <f aca="false">MAX(1,12-2*D42)</f>
        <v>6</v>
      </c>
      <c r="G42" s="20" t="n">
        <f aca="false">F42/SUM($F$5:$F$42)</f>
        <v>0.0189873417721519</v>
      </c>
      <c r="H42" s="9" t="n">
        <f aca="false">COUNTIF(Dishes!$E$5:$G$29,A42)</f>
        <v>1</v>
      </c>
      <c r="I42" s="9" t="str">
        <f aca="false">IF(SUMPRODUCT((Dishes!$E$5:$G$29=A42)*(Dishes!$Y$5:$Y$29="Yes"))&gt;0,"Yes","No")</f>
        <v>No</v>
      </c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3" t="s">
        <v>394</v>
      </c>
      <c r="B44" s="2"/>
      <c r="C44" s="2"/>
      <c r="D44" s="2"/>
      <c r="E44" s="2"/>
      <c r="F44" s="2"/>
      <c r="G44" s="2"/>
      <c r="H44" s="2"/>
      <c r="I44" s="2"/>
    </row>
  </sheetData>
  <dataValidations count="1">
    <dataValidation allowBlank="false" errorStyle="stop" operator="between" showDropDown="false" showErrorMessage="false" showInputMessage="false" sqref="C5:C72" type="list">
      <formula1>"Market,Garden"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10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9" min="11" style="0" width="8"/>
    <col collapsed="false" customWidth="true" hidden="false" outlineLevel="0" max="20" min="20" style="0" width="11"/>
    <col collapsed="false" customWidth="true" hidden="false" outlineLevel="0" max="22" min="21" style="0" width="9"/>
    <col collapsed="false" customWidth="true" hidden="false" outlineLevel="0" max="23" min="23" style="0" width="13"/>
    <col collapsed="false" customWidth="true" hidden="false" outlineLevel="0" max="24" min="24" style="0" width="30"/>
    <col collapsed="false" customWidth="true" hidden="false" outlineLevel="0" max="25" min="25" style="0" width="9"/>
  </cols>
  <sheetData>
    <row r="1" customFormat="false" ht="17.35" hidden="false" customHeight="false" outlineLevel="0" collapsed="false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395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1.5" hidden="false" customHeight="true" outlineLevel="0" collapsed="false">
      <c r="A4" s="8" t="s">
        <v>309</v>
      </c>
      <c r="B4" s="8" t="s">
        <v>396</v>
      </c>
      <c r="C4" s="8" t="s">
        <v>397</v>
      </c>
      <c r="D4" s="8" t="s">
        <v>398</v>
      </c>
      <c r="E4" s="8" t="s">
        <v>399</v>
      </c>
      <c r="F4" s="8" t="s">
        <v>400</v>
      </c>
      <c r="G4" s="8" t="s">
        <v>401</v>
      </c>
      <c r="H4" s="8" t="s">
        <v>402</v>
      </c>
      <c r="I4" s="8" t="s">
        <v>403</v>
      </c>
      <c r="J4" s="8" t="s">
        <v>404</v>
      </c>
      <c r="K4" s="8" t="s">
        <v>405</v>
      </c>
      <c r="L4" s="8" t="s">
        <v>406</v>
      </c>
      <c r="M4" s="8" t="s">
        <v>407</v>
      </c>
      <c r="N4" s="8" t="s">
        <v>408</v>
      </c>
      <c r="O4" s="8" t="s">
        <v>409</v>
      </c>
      <c r="P4" s="8" t="s">
        <v>410</v>
      </c>
      <c r="Q4" s="8" t="s">
        <v>411</v>
      </c>
      <c r="R4" s="8" t="s">
        <v>412</v>
      </c>
      <c r="S4" s="8" t="s">
        <v>413</v>
      </c>
      <c r="T4" s="8" t="s">
        <v>414</v>
      </c>
      <c r="U4" s="8" t="s">
        <v>415</v>
      </c>
      <c r="V4" s="8" t="s">
        <v>416</v>
      </c>
      <c r="W4" s="8" t="s">
        <v>417</v>
      </c>
      <c r="X4" s="8" t="s">
        <v>53</v>
      </c>
      <c r="Y4" s="8" t="s">
        <v>316</v>
      </c>
    </row>
    <row r="5" customFormat="false" ht="15" hidden="false" customHeight="false" outlineLevel="0" collapsed="false">
      <c r="A5" s="10" t="s">
        <v>418</v>
      </c>
      <c r="B5" s="10" t="s">
        <v>419</v>
      </c>
      <c r="C5" s="10" t="s">
        <v>420</v>
      </c>
      <c r="D5" s="10" t="s">
        <v>421</v>
      </c>
      <c r="E5" s="10" t="s">
        <v>317</v>
      </c>
      <c r="F5" s="10" t="s">
        <v>320</v>
      </c>
      <c r="G5" s="10" t="s">
        <v>322</v>
      </c>
      <c r="H5" s="10" t="n">
        <v>12</v>
      </c>
      <c r="I5" s="10" t="n">
        <v>5</v>
      </c>
      <c r="J5" s="10" t="n">
        <v>1</v>
      </c>
      <c r="K5" s="9" t="n">
        <f aca="false">ROUND(H5*(1+Settings!$B$22*1),0)</f>
        <v>14</v>
      </c>
      <c r="L5" s="9" t="n">
        <f aca="false">ROUND(H5*(1+Settings!$B$22*2),0)</f>
        <v>17</v>
      </c>
      <c r="M5" s="9" t="n">
        <f aca="false">ROUND(H5*(1+Settings!$B$22*3),0)</f>
        <v>19</v>
      </c>
      <c r="N5" s="9" t="n">
        <f aca="false">ROUND(H5*(1+Settings!$B$22*4),0)</f>
        <v>22</v>
      </c>
      <c r="O5" s="9" t="n">
        <f aca="false">ROUND(H5*(1+Settings!$B$22*5),0)</f>
        <v>24</v>
      </c>
      <c r="P5" s="9" t="n">
        <f aca="false">ROUND(H5*(1+Settings!$B$22*6),0)</f>
        <v>26</v>
      </c>
      <c r="Q5" s="9" t="n">
        <f aca="false">ROUND(H5*(1+Settings!$B$22*7),0)</f>
        <v>29</v>
      </c>
      <c r="R5" s="9" t="n">
        <f aca="false">ROUND(H5*(1+Settings!$B$22*8),0)</f>
        <v>31</v>
      </c>
      <c r="S5" s="9" t="n">
        <f aca="false">ROUND(H5*(1+Settings!$B$22*9),0)</f>
        <v>34</v>
      </c>
      <c r="T5" s="21" t="n">
        <f aca="false">H5/I5</f>
        <v>2.4</v>
      </c>
      <c r="U5" s="9" t="n">
        <f aca="false">Settings!$B$25+Settings!$B$26*1</f>
        <v>8</v>
      </c>
      <c r="V5" s="9" t="n">
        <f aca="false">Settings!$B$25+Settings!$B$26*Settings!$B$23</f>
        <v>26</v>
      </c>
      <c r="W5" s="2" t="str">
        <f aca="false">IF(COUNTIF(Ingredients!$A$5:$A$42,E5)*COUNTIF(Ingredients!$A$5:$A$42,F5)*COUNTIF(Ingredients!$A$5:$A$42,G5)&gt;0,"OK","Missing ingredient")</f>
        <v>OK</v>
      </c>
      <c r="X5" s="3" t="s">
        <v>422</v>
      </c>
      <c r="Y5" s="10" t="s">
        <v>423</v>
      </c>
    </row>
    <row r="6" customFormat="false" ht="15" hidden="false" customHeight="false" outlineLevel="0" collapsed="false">
      <c r="A6" s="10" t="s">
        <v>424</v>
      </c>
      <c r="B6" s="10" t="s">
        <v>425</v>
      </c>
      <c r="C6" s="10" t="s">
        <v>420</v>
      </c>
      <c r="D6" s="10" t="s">
        <v>426</v>
      </c>
      <c r="E6" s="10" t="s">
        <v>336</v>
      </c>
      <c r="F6" s="10" t="s">
        <v>338</v>
      </c>
      <c r="G6" s="10" t="s">
        <v>340</v>
      </c>
      <c r="H6" s="10" t="n">
        <v>10</v>
      </c>
      <c r="I6" s="10" t="n">
        <v>4</v>
      </c>
      <c r="J6" s="10" t="n">
        <v>1</v>
      </c>
      <c r="K6" s="9" t="n">
        <f aca="false">ROUND(H6*(1+Settings!$B$22*1),0)</f>
        <v>12</v>
      </c>
      <c r="L6" s="9" t="n">
        <f aca="false">ROUND(H6*(1+Settings!$B$22*2),0)</f>
        <v>14</v>
      </c>
      <c r="M6" s="9" t="n">
        <f aca="false">ROUND(H6*(1+Settings!$B$22*3),0)</f>
        <v>16</v>
      </c>
      <c r="N6" s="9" t="n">
        <f aca="false">ROUND(H6*(1+Settings!$B$22*4),0)</f>
        <v>18</v>
      </c>
      <c r="O6" s="9" t="n">
        <f aca="false">ROUND(H6*(1+Settings!$B$22*5),0)</f>
        <v>20</v>
      </c>
      <c r="P6" s="9" t="n">
        <f aca="false">ROUND(H6*(1+Settings!$B$22*6),0)</f>
        <v>22</v>
      </c>
      <c r="Q6" s="9" t="n">
        <f aca="false">ROUND(H6*(1+Settings!$B$22*7),0)</f>
        <v>24</v>
      </c>
      <c r="R6" s="9" t="n">
        <f aca="false">ROUND(H6*(1+Settings!$B$22*8),0)</f>
        <v>26</v>
      </c>
      <c r="S6" s="9" t="n">
        <f aca="false">ROUND(H6*(1+Settings!$B$22*9),0)</f>
        <v>28</v>
      </c>
      <c r="T6" s="21" t="n">
        <f aca="false">H6/I6</f>
        <v>2.5</v>
      </c>
      <c r="U6" s="9" t="n">
        <f aca="false">Settings!$B$25+Settings!$B$26*1</f>
        <v>8</v>
      </c>
      <c r="V6" s="9" t="n">
        <f aca="false">Settings!$B$25+Settings!$B$26*Settings!$B$23</f>
        <v>26</v>
      </c>
      <c r="W6" s="2" t="str">
        <f aca="false">IF(COUNTIF(Ingredients!$A$5:$A$42,E6)*COUNTIF(Ingredients!$A$5:$A$42,F6)*COUNTIF(Ingredients!$A$5:$A$42,G6)&gt;0,"OK","Missing ingredient")</f>
        <v>OK</v>
      </c>
      <c r="X6" s="3"/>
      <c r="Y6" s="10" t="s">
        <v>423</v>
      </c>
    </row>
    <row r="7" customFormat="false" ht="15" hidden="false" customHeight="false" outlineLevel="0" collapsed="false">
      <c r="A7" s="10" t="s">
        <v>427</v>
      </c>
      <c r="B7" s="10" t="s">
        <v>428</v>
      </c>
      <c r="C7" s="10" t="s">
        <v>420</v>
      </c>
      <c r="D7" s="10" t="s">
        <v>426</v>
      </c>
      <c r="E7" s="10" t="s">
        <v>324</v>
      </c>
      <c r="F7" s="10" t="s">
        <v>326</v>
      </c>
      <c r="G7" s="10" t="s">
        <v>328</v>
      </c>
      <c r="H7" s="10" t="n">
        <v>14</v>
      </c>
      <c r="I7" s="10" t="n">
        <v>6</v>
      </c>
      <c r="J7" s="10" t="n">
        <v>2</v>
      </c>
      <c r="K7" s="9" t="n">
        <f aca="false">ROUND(H7*(1+Settings!$B$22*1),0)</f>
        <v>17</v>
      </c>
      <c r="L7" s="9" t="n">
        <f aca="false">ROUND(H7*(1+Settings!$B$22*2),0)</f>
        <v>20</v>
      </c>
      <c r="M7" s="9" t="n">
        <f aca="false">ROUND(H7*(1+Settings!$B$22*3),0)</f>
        <v>22</v>
      </c>
      <c r="N7" s="9" t="n">
        <f aca="false">ROUND(H7*(1+Settings!$B$22*4),0)</f>
        <v>25</v>
      </c>
      <c r="O7" s="9" t="n">
        <f aca="false">ROUND(H7*(1+Settings!$B$22*5),0)</f>
        <v>28</v>
      </c>
      <c r="P7" s="9" t="n">
        <f aca="false">ROUND(H7*(1+Settings!$B$22*6),0)</f>
        <v>31</v>
      </c>
      <c r="Q7" s="9" t="n">
        <f aca="false">ROUND(H7*(1+Settings!$B$22*7),0)</f>
        <v>34</v>
      </c>
      <c r="R7" s="9" t="n">
        <f aca="false">ROUND(H7*(1+Settings!$B$22*8),0)</f>
        <v>36</v>
      </c>
      <c r="S7" s="9" t="n">
        <f aca="false">ROUND(H7*(1+Settings!$B$22*9),0)</f>
        <v>39</v>
      </c>
      <c r="T7" s="21" t="n">
        <f aca="false">H7/I7</f>
        <v>2.33333333333333</v>
      </c>
      <c r="U7" s="9" t="n">
        <f aca="false">Settings!$B$25+Settings!$B$26*1</f>
        <v>8</v>
      </c>
      <c r="V7" s="9" t="n">
        <f aca="false">Settings!$B$25+Settings!$B$26*Settings!$B$23</f>
        <v>26</v>
      </c>
      <c r="W7" s="2" t="str">
        <f aca="false">IF(COUNTIF(Ingredients!$A$5:$A$42,E7)*COUNTIF(Ingredients!$A$5:$A$42,F7)*COUNTIF(Ingredients!$A$5:$A$42,G7)&gt;0,"OK","Missing ingredient")</f>
        <v>OK</v>
      </c>
      <c r="X7" s="3"/>
      <c r="Y7" s="10" t="s">
        <v>423</v>
      </c>
    </row>
    <row r="8" customFormat="false" ht="15" hidden="false" customHeight="false" outlineLevel="0" collapsed="false">
      <c r="A8" s="10" t="s">
        <v>429</v>
      </c>
      <c r="B8" s="10" t="s">
        <v>430</v>
      </c>
      <c r="C8" s="10" t="s">
        <v>420</v>
      </c>
      <c r="D8" s="10" t="s">
        <v>421</v>
      </c>
      <c r="E8" s="10" t="s">
        <v>330</v>
      </c>
      <c r="F8" s="10" t="s">
        <v>332</v>
      </c>
      <c r="G8" s="10" t="s">
        <v>334</v>
      </c>
      <c r="H8" s="10" t="n">
        <v>15</v>
      </c>
      <c r="I8" s="10" t="n">
        <v>6</v>
      </c>
      <c r="J8" s="10" t="n">
        <v>4</v>
      </c>
      <c r="K8" s="9" t="n">
        <f aca="false">ROUND(H8*(1+Settings!$B$22*1),0)</f>
        <v>18</v>
      </c>
      <c r="L8" s="9" t="n">
        <f aca="false">ROUND(H8*(1+Settings!$B$22*2),0)</f>
        <v>21</v>
      </c>
      <c r="M8" s="9" t="n">
        <f aca="false">ROUND(H8*(1+Settings!$B$22*3),0)</f>
        <v>24</v>
      </c>
      <c r="N8" s="9" t="n">
        <f aca="false">ROUND(H8*(1+Settings!$B$22*4),0)</f>
        <v>27</v>
      </c>
      <c r="O8" s="9" t="n">
        <f aca="false">ROUND(H8*(1+Settings!$B$22*5),0)</f>
        <v>30</v>
      </c>
      <c r="P8" s="9" t="n">
        <f aca="false">ROUND(H8*(1+Settings!$B$22*6),0)</f>
        <v>33</v>
      </c>
      <c r="Q8" s="9" t="n">
        <f aca="false">ROUND(H8*(1+Settings!$B$22*7),0)</f>
        <v>36</v>
      </c>
      <c r="R8" s="9" t="n">
        <f aca="false">ROUND(H8*(1+Settings!$B$22*8),0)</f>
        <v>39</v>
      </c>
      <c r="S8" s="9" t="n">
        <f aca="false">ROUND(H8*(1+Settings!$B$22*9),0)</f>
        <v>42</v>
      </c>
      <c r="T8" s="21" t="n">
        <f aca="false">H8/I8</f>
        <v>2.5</v>
      </c>
      <c r="U8" s="9" t="n">
        <f aca="false">Settings!$B$25+Settings!$B$26*1</f>
        <v>8</v>
      </c>
      <c r="V8" s="9" t="n">
        <f aca="false">Settings!$B$25+Settings!$B$26*Settings!$B$23</f>
        <v>26</v>
      </c>
      <c r="W8" s="2" t="str">
        <f aca="false">IF(COUNTIF(Ingredients!$A$5:$A$42,E8)*COUNTIF(Ingredients!$A$5:$A$42,F8)*COUNTIF(Ingredients!$A$5:$A$42,G8)&gt;0,"OK","Missing ingredient")</f>
        <v>OK</v>
      </c>
      <c r="X8" s="3"/>
      <c r="Y8" s="10" t="s">
        <v>423</v>
      </c>
    </row>
    <row r="9" customFormat="false" ht="15" hidden="false" customHeight="false" outlineLevel="0" collapsed="false">
      <c r="A9" s="10" t="s">
        <v>431</v>
      </c>
      <c r="B9" s="10" t="s">
        <v>432</v>
      </c>
      <c r="C9" s="10" t="s">
        <v>420</v>
      </c>
      <c r="D9" s="10" t="s">
        <v>433</v>
      </c>
      <c r="E9" s="10" t="s">
        <v>384</v>
      </c>
      <c r="F9" s="10" t="s">
        <v>350</v>
      </c>
      <c r="G9" s="10" t="s">
        <v>352</v>
      </c>
      <c r="H9" s="10" t="n">
        <v>8</v>
      </c>
      <c r="I9" s="10" t="n">
        <v>3</v>
      </c>
      <c r="J9" s="10" t="n">
        <v>15</v>
      </c>
      <c r="K9" s="9" t="n">
        <f aca="false">ROUND(H9*(1+Settings!$B$22*1),0)</f>
        <v>10</v>
      </c>
      <c r="L9" s="9" t="n">
        <f aca="false">ROUND(H9*(1+Settings!$B$22*2),0)</f>
        <v>11</v>
      </c>
      <c r="M9" s="9" t="n">
        <f aca="false">ROUND(H9*(1+Settings!$B$22*3),0)</f>
        <v>13</v>
      </c>
      <c r="N9" s="9" t="n">
        <f aca="false">ROUND(H9*(1+Settings!$B$22*4),0)</f>
        <v>14</v>
      </c>
      <c r="O9" s="9" t="n">
        <f aca="false">ROUND(H9*(1+Settings!$B$22*5),0)</f>
        <v>16</v>
      </c>
      <c r="P9" s="9" t="n">
        <f aca="false">ROUND(H9*(1+Settings!$B$22*6),0)</f>
        <v>18</v>
      </c>
      <c r="Q9" s="9" t="n">
        <f aca="false">ROUND(H9*(1+Settings!$B$22*7),0)</f>
        <v>19</v>
      </c>
      <c r="R9" s="9" t="n">
        <f aca="false">ROUND(H9*(1+Settings!$B$22*8),0)</f>
        <v>21</v>
      </c>
      <c r="S9" s="9" t="n">
        <f aca="false">ROUND(H9*(1+Settings!$B$22*9),0)</f>
        <v>22</v>
      </c>
      <c r="T9" s="21" t="n">
        <f aca="false">H9/I9</f>
        <v>2.66666666666667</v>
      </c>
      <c r="U9" s="9" t="n">
        <f aca="false">Settings!$B$25+Settings!$B$26*1</f>
        <v>8</v>
      </c>
      <c r="V9" s="9" t="n">
        <f aca="false">Settings!$B$25+Settings!$B$26*Settings!$B$23</f>
        <v>26</v>
      </c>
      <c r="W9" s="2" t="str">
        <f aca="false">IF(COUNTIF(Ingredients!$A$5:$A$42,E9)*COUNTIF(Ingredients!$A$5:$A$42,F9)*COUNTIF(Ingredients!$A$5:$A$42,G9)&gt;0,"OK","Missing ingredient")</f>
        <v>OK</v>
      </c>
      <c r="X9" s="3"/>
      <c r="Y9" s="10" t="s">
        <v>434</v>
      </c>
    </row>
    <row r="10" customFormat="false" ht="15" hidden="false" customHeight="false" outlineLevel="0" collapsed="false">
      <c r="A10" s="10" t="s">
        <v>435</v>
      </c>
      <c r="B10" s="10" t="s">
        <v>436</v>
      </c>
      <c r="C10" s="10" t="s">
        <v>437</v>
      </c>
      <c r="D10" s="10" t="s">
        <v>421</v>
      </c>
      <c r="E10" s="10" t="s">
        <v>330</v>
      </c>
      <c r="F10" s="10" t="s">
        <v>342</v>
      </c>
      <c r="G10" s="10" t="s">
        <v>334</v>
      </c>
      <c r="H10" s="10" t="n">
        <v>16</v>
      </c>
      <c r="I10" s="10" t="n">
        <v>6</v>
      </c>
      <c r="J10" s="10" t="n">
        <v>2</v>
      </c>
      <c r="K10" s="9" t="n">
        <f aca="false">ROUND(H10*(1+Settings!$B$22*1),0)</f>
        <v>19</v>
      </c>
      <c r="L10" s="9" t="n">
        <f aca="false">ROUND(H10*(1+Settings!$B$22*2),0)</f>
        <v>22</v>
      </c>
      <c r="M10" s="9" t="n">
        <f aca="false">ROUND(H10*(1+Settings!$B$22*3),0)</f>
        <v>26</v>
      </c>
      <c r="N10" s="9" t="n">
        <f aca="false">ROUND(H10*(1+Settings!$B$22*4),0)</f>
        <v>29</v>
      </c>
      <c r="O10" s="9" t="n">
        <f aca="false">ROUND(H10*(1+Settings!$B$22*5),0)</f>
        <v>32</v>
      </c>
      <c r="P10" s="9" t="n">
        <f aca="false">ROUND(H10*(1+Settings!$B$22*6),0)</f>
        <v>35</v>
      </c>
      <c r="Q10" s="9" t="n">
        <f aca="false">ROUND(H10*(1+Settings!$B$22*7),0)</f>
        <v>38</v>
      </c>
      <c r="R10" s="9" t="n">
        <f aca="false">ROUND(H10*(1+Settings!$B$22*8),0)</f>
        <v>42</v>
      </c>
      <c r="S10" s="9" t="n">
        <f aca="false">ROUND(H10*(1+Settings!$B$22*9),0)</f>
        <v>45</v>
      </c>
      <c r="T10" s="21" t="n">
        <f aca="false">H10/I10</f>
        <v>2.66666666666667</v>
      </c>
      <c r="U10" s="9" t="n">
        <f aca="false">Settings!$B$25+Settings!$B$26*1</f>
        <v>8</v>
      </c>
      <c r="V10" s="9" t="n">
        <f aca="false">Settings!$B$25+Settings!$B$26*Settings!$B$23</f>
        <v>26</v>
      </c>
      <c r="W10" s="2" t="str">
        <f aca="false">IF(COUNTIF(Ingredients!$A$5:$A$42,E10)*COUNTIF(Ingredients!$A$5:$A$42,F10)*COUNTIF(Ingredients!$A$5:$A$42,G10)&gt;0,"OK","Missing ingredient")</f>
        <v>OK</v>
      </c>
      <c r="X10" s="3" t="s">
        <v>422</v>
      </c>
      <c r="Y10" s="10" t="s">
        <v>434</v>
      </c>
    </row>
    <row r="11" customFormat="false" ht="15" hidden="false" customHeight="false" outlineLevel="0" collapsed="false">
      <c r="A11" s="10" t="s">
        <v>438</v>
      </c>
      <c r="B11" s="10" t="s">
        <v>439</v>
      </c>
      <c r="C11" s="10" t="s">
        <v>437</v>
      </c>
      <c r="D11" s="10" t="s">
        <v>426</v>
      </c>
      <c r="E11" s="10" t="s">
        <v>317</v>
      </c>
      <c r="F11" s="10" t="s">
        <v>344</v>
      </c>
      <c r="G11" s="10" t="s">
        <v>346</v>
      </c>
      <c r="H11" s="10" t="n">
        <v>18</v>
      </c>
      <c r="I11" s="10" t="n">
        <v>7</v>
      </c>
      <c r="J11" s="10" t="n">
        <v>3</v>
      </c>
      <c r="K11" s="9" t="n">
        <f aca="false">ROUND(H11*(1+Settings!$B$22*1),0)</f>
        <v>22</v>
      </c>
      <c r="L11" s="9" t="n">
        <f aca="false">ROUND(H11*(1+Settings!$B$22*2),0)</f>
        <v>25</v>
      </c>
      <c r="M11" s="9" t="n">
        <f aca="false">ROUND(H11*(1+Settings!$B$22*3),0)</f>
        <v>29</v>
      </c>
      <c r="N11" s="9" t="n">
        <f aca="false">ROUND(H11*(1+Settings!$B$22*4),0)</f>
        <v>32</v>
      </c>
      <c r="O11" s="9" t="n">
        <f aca="false">ROUND(H11*(1+Settings!$B$22*5),0)</f>
        <v>36</v>
      </c>
      <c r="P11" s="9" t="n">
        <f aca="false">ROUND(H11*(1+Settings!$B$22*6),0)</f>
        <v>40</v>
      </c>
      <c r="Q11" s="9" t="n">
        <f aca="false">ROUND(H11*(1+Settings!$B$22*7),0)</f>
        <v>43</v>
      </c>
      <c r="R11" s="9" t="n">
        <f aca="false">ROUND(H11*(1+Settings!$B$22*8),0)</f>
        <v>47</v>
      </c>
      <c r="S11" s="9" t="n">
        <f aca="false">ROUND(H11*(1+Settings!$B$22*9),0)</f>
        <v>50</v>
      </c>
      <c r="T11" s="21" t="n">
        <f aca="false">H11/I11</f>
        <v>2.57142857142857</v>
      </c>
      <c r="U11" s="9" t="n">
        <f aca="false">Settings!$B$25+Settings!$B$26*1</f>
        <v>8</v>
      </c>
      <c r="V11" s="9" t="n">
        <f aca="false">Settings!$B$25+Settings!$B$26*Settings!$B$23</f>
        <v>26</v>
      </c>
      <c r="W11" s="2" t="str">
        <f aca="false">IF(COUNTIF(Ingredients!$A$5:$A$42,E11)*COUNTIF(Ingredients!$A$5:$A$42,F11)*COUNTIF(Ingredients!$A$5:$A$42,G11)&gt;0,"OK","Missing ingredient")</f>
        <v>OK</v>
      </c>
      <c r="X11" s="3"/>
      <c r="Y11" s="10" t="s">
        <v>434</v>
      </c>
    </row>
    <row r="12" customFormat="false" ht="15" hidden="false" customHeight="false" outlineLevel="0" collapsed="false">
      <c r="A12" s="10" t="s">
        <v>440</v>
      </c>
      <c r="B12" s="10" t="s">
        <v>441</v>
      </c>
      <c r="C12" s="10" t="s">
        <v>437</v>
      </c>
      <c r="D12" s="10" t="s">
        <v>426</v>
      </c>
      <c r="E12" s="10" t="s">
        <v>332</v>
      </c>
      <c r="F12" s="10" t="s">
        <v>336</v>
      </c>
      <c r="G12" s="10" t="s">
        <v>342</v>
      </c>
      <c r="H12" s="10" t="n">
        <v>17</v>
      </c>
      <c r="I12" s="10" t="n">
        <v>6</v>
      </c>
      <c r="J12" s="10" t="n">
        <v>5</v>
      </c>
      <c r="K12" s="9" t="n">
        <f aca="false">ROUND(H12*(1+Settings!$B$22*1),0)</f>
        <v>20</v>
      </c>
      <c r="L12" s="9" t="n">
        <f aca="false">ROUND(H12*(1+Settings!$B$22*2),0)</f>
        <v>24</v>
      </c>
      <c r="M12" s="9" t="n">
        <f aca="false">ROUND(H12*(1+Settings!$B$22*3),0)</f>
        <v>27</v>
      </c>
      <c r="N12" s="9" t="n">
        <f aca="false">ROUND(H12*(1+Settings!$B$22*4),0)</f>
        <v>31</v>
      </c>
      <c r="O12" s="9" t="n">
        <f aca="false">ROUND(H12*(1+Settings!$B$22*5),0)</f>
        <v>34</v>
      </c>
      <c r="P12" s="9" t="n">
        <f aca="false">ROUND(H12*(1+Settings!$B$22*6),0)</f>
        <v>37</v>
      </c>
      <c r="Q12" s="9" t="n">
        <f aca="false">ROUND(H12*(1+Settings!$B$22*7),0)</f>
        <v>41</v>
      </c>
      <c r="R12" s="9" t="n">
        <f aca="false">ROUND(H12*(1+Settings!$B$22*8),0)</f>
        <v>44</v>
      </c>
      <c r="S12" s="9" t="n">
        <f aca="false">ROUND(H12*(1+Settings!$B$22*9),0)</f>
        <v>48</v>
      </c>
      <c r="T12" s="21" t="n">
        <f aca="false">H12/I12</f>
        <v>2.83333333333333</v>
      </c>
      <c r="U12" s="9" t="n">
        <f aca="false">Settings!$B$25+Settings!$B$26*1</f>
        <v>8</v>
      </c>
      <c r="V12" s="9" t="n">
        <f aca="false">Settings!$B$25+Settings!$B$26*Settings!$B$23</f>
        <v>26</v>
      </c>
      <c r="W12" s="2" t="str">
        <f aca="false">IF(COUNTIF(Ingredients!$A$5:$A$42,E12)*COUNTIF(Ingredients!$A$5:$A$42,F12)*COUNTIF(Ingredients!$A$5:$A$42,G12)&gt;0,"OK","Missing ingredient")</f>
        <v>OK</v>
      </c>
      <c r="X12" s="3"/>
      <c r="Y12" s="10" t="s">
        <v>434</v>
      </c>
    </row>
    <row r="13" customFormat="false" ht="15" hidden="false" customHeight="false" outlineLevel="0" collapsed="false">
      <c r="A13" s="10" t="s">
        <v>442</v>
      </c>
      <c r="B13" s="10" t="s">
        <v>443</v>
      </c>
      <c r="C13" s="10" t="s">
        <v>437</v>
      </c>
      <c r="D13" s="10" t="s">
        <v>444</v>
      </c>
      <c r="E13" s="10" t="s">
        <v>348</v>
      </c>
      <c r="F13" s="10" t="s">
        <v>350</v>
      </c>
      <c r="G13" s="10" t="s">
        <v>352</v>
      </c>
      <c r="H13" s="10" t="n">
        <v>13</v>
      </c>
      <c r="I13" s="10" t="n">
        <v>4</v>
      </c>
      <c r="J13" s="10" t="n">
        <v>6</v>
      </c>
      <c r="K13" s="9" t="n">
        <f aca="false">ROUND(H13*(1+Settings!$B$22*1),0)</f>
        <v>16</v>
      </c>
      <c r="L13" s="9" t="n">
        <f aca="false">ROUND(H13*(1+Settings!$B$22*2),0)</f>
        <v>18</v>
      </c>
      <c r="M13" s="9" t="n">
        <f aca="false">ROUND(H13*(1+Settings!$B$22*3),0)</f>
        <v>21</v>
      </c>
      <c r="N13" s="9" t="n">
        <f aca="false">ROUND(H13*(1+Settings!$B$22*4),0)</f>
        <v>23</v>
      </c>
      <c r="O13" s="9" t="n">
        <f aca="false">ROUND(H13*(1+Settings!$B$22*5),0)</f>
        <v>26</v>
      </c>
      <c r="P13" s="9" t="n">
        <f aca="false">ROUND(H13*(1+Settings!$B$22*6),0)</f>
        <v>29</v>
      </c>
      <c r="Q13" s="9" t="n">
        <f aca="false">ROUND(H13*(1+Settings!$B$22*7),0)</f>
        <v>31</v>
      </c>
      <c r="R13" s="9" t="n">
        <f aca="false">ROUND(H13*(1+Settings!$B$22*8),0)</f>
        <v>34</v>
      </c>
      <c r="S13" s="9" t="n">
        <f aca="false">ROUND(H13*(1+Settings!$B$22*9),0)</f>
        <v>36</v>
      </c>
      <c r="T13" s="21" t="n">
        <f aca="false">H13/I13</f>
        <v>3.25</v>
      </c>
      <c r="U13" s="9" t="n">
        <f aca="false">Settings!$B$25+Settings!$B$26*1</f>
        <v>8</v>
      </c>
      <c r="V13" s="9" t="n">
        <f aca="false">Settings!$B$25+Settings!$B$26*Settings!$B$23</f>
        <v>26</v>
      </c>
      <c r="W13" s="2" t="str">
        <f aca="false">IF(COUNTIF(Ingredients!$A$5:$A$42,E13)*COUNTIF(Ingredients!$A$5:$A$42,F13)*COUNTIF(Ingredients!$A$5:$A$42,G13)&gt;0,"OK","Missing ingredient")</f>
        <v>OK</v>
      </c>
      <c r="X13" s="3"/>
      <c r="Y13" s="10" t="s">
        <v>434</v>
      </c>
    </row>
    <row r="14" customFormat="false" ht="15" hidden="false" customHeight="false" outlineLevel="0" collapsed="false">
      <c r="A14" s="10" t="s">
        <v>445</v>
      </c>
      <c r="B14" s="10" t="s">
        <v>446</v>
      </c>
      <c r="C14" s="10" t="s">
        <v>437</v>
      </c>
      <c r="D14" s="10" t="s">
        <v>433</v>
      </c>
      <c r="E14" s="10" t="s">
        <v>348</v>
      </c>
      <c r="F14" s="10" t="s">
        <v>350</v>
      </c>
      <c r="G14" s="10" t="s">
        <v>386</v>
      </c>
      <c r="H14" s="10" t="n">
        <v>10</v>
      </c>
      <c r="I14" s="10" t="n">
        <v>3</v>
      </c>
      <c r="J14" s="10" t="n">
        <v>16</v>
      </c>
      <c r="K14" s="9" t="n">
        <f aca="false">ROUND(H14*(1+Settings!$B$22*1),0)</f>
        <v>12</v>
      </c>
      <c r="L14" s="9" t="n">
        <f aca="false">ROUND(H14*(1+Settings!$B$22*2),0)</f>
        <v>14</v>
      </c>
      <c r="M14" s="9" t="n">
        <f aca="false">ROUND(H14*(1+Settings!$B$22*3),0)</f>
        <v>16</v>
      </c>
      <c r="N14" s="9" t="n">
        <f aca="false">ROUND(H14*(1+Settings!$B$22*4),0)</f>
        <v>18</v>
      </c>
      <c r="O14" s="9" t="n">
        <f aca="false">ROUND(H14*(1+Settings!$B$22*5),0)</f>
        <v>20</v>
      </c>
      <c r="P14" s="9" t="n">
        <f aca="false">ROUND(H14*(1+Settings!$B$22*6),0)</f>
        <v>22</v>
      </c>
      <c r="Q14" s="9" t="n">
        <f aca="false">ROUND(H14*(1+Settings!$B$22*7),0)</f>
        <v>24</v>
      </c>
      <c r="R14" s="9" t="n">
        <f aca="false">ROUND(H14*(1+Settings!$B$22*8),0)</f>
        <v>26</v>
      </c>
      <c r="S14" s="9" t="n">
        <f aca="false">ROUND(H14*(1+Settings!$B$22*9),0)</f>
        <v>28</v>
      </c>
      <c r="T14" s="21" t="n">
        <f aca="false">H14/I14</f>
        <v>3.33333333333333</v>
      </c>
      <c r="U14" s="9" t="n">
        <f aca="false">Settings!$B$25+Settings!$B$26*1</f>
        <v>8</v>
      </c>
      <c r="V14" s="9" t="n">
        <f aca="false">Settings!$B$25+Settings!$B$26*Settings!$B$23</f>
        <v>26</v>
      </c>
      <c r="W14" s="2" t="str">
        <f aca="false">IF(COUNTIF(Ingredients!$A$5:$A$42,E14)*COUNTIF(Ingredients!$A$5:$A$42,F14)*COUNTIF(Ingredients!$A$5:$A$42,G14)&gt;0,"OK","Missing ingredient")</f>
        <v>OK</v>
      </c>
      <c r="X14" s="3"/>
      <c r="Y14" s="10" t="s">
        <v>434</v>
      </c>
    </row>
    <row r="15" customFormat="false" ht="15" hidden="false" customHeight="false" outlineLevel="0" collapsed="false">
      <c r="A15" s="10" t="s">
        <v>447</v>
      </c>
      <c r="B15" s="10" t="s">
        <v>448</v>
      </c>
      <c r="C15" s="10" t="s">
        <v>449</v>
      </c>
      <c r="D15" s="10" t="s">
        <v>421</v>
      </c>
      <c r="E15" s="10" t="s">
        <v>317</v>
      </c>
      <c r="F15" s="10" t="s">
        <v>342</v>
      </c>
      <c r="G15" s="10" t="s">
        <v>354</v>
      </c>
      <c r="H15" s="10" t="n">
        <v>16</v>
      </c>
      <c r="I15" s="10" t="n">
        <v>6</v>
      </c>
      <c r="J15" s="10" t="n">
        <v>3</v>
      </c>
      <c r="K15" s="9" t="n">
        <f aca="false">ROUND(H15*(1+Settings!$B$22*1),0)</f>
        <v>19</v>
      </c>
      <c r="L15" s="9" t="n">
        <f aca="false">ROUND(H15*(1+Settings!$B$22*2),0)</f>
        <v>22</v>
      </c>
      <c r="M15" s="9" t="n">
        <f aca="false">ROUND(H15*(1+Settings!$B$22*3),0)</f>
        <v>26</v>
      </c>
      <c r="N15" s="9" t="n">
        <f aca="false">ROUND(H15*(1+Settings!$B$22*4),0)</f>
        <v>29</v>
      </c>
      <c r="O15" s="9" t="n">
        <f aca="false">ROUND(H15*(1+Settings!$B$22*5),0)</f>
        <v>32</v>
      </c>
      <c r="P15" s="9" t="n">
        <f aca="false">ROUND(H15*(1+Settings!$B$22*6),0)</f>
        <v>35</v>
      </c>
      <c r="Q15" s="9" t="n">
        <f aca="false">ROUND(H15*(1+Settings!$B$22*7),0)</f>
        <v>38</v>
      </c>
      <c r="R15" s="9" t="n">
        <f aca="false">ROUND(H15*(1+Settings!$B$22*8),0)</f>
        <v>42</v>
      </c>
      <c r="S15" s="9" t="n">
        <f aca="false">ROUND(H15*(1+Settings!$B$22*9),0)</f>
        <v>45</v>
      </c>
      <c r="T15" s="21" t="n">
        <f aca="false">H15/I15</f>
        <v>2.66666666666667</v>
      </c>
      <c r="U15" s="9" t="n">
        <f aca="false">Settings!$B$25+Settings!$B$26*1</f>
        <v>8</v>
      </c>
      <c r="V15" s="9" t="n">
        <f aca="false">Settings!$B$25+Settings!$B$26*Settings!$B$23</f>
        <v>26</v>
      </c>
      <c r="W15" s="2" t="str">
        <f aca="false">IF(COUNTIF(Ingredients!$A$5:$A$42,E15)*COUNTIF(Ingredients!$A$5:$A$42,F15)*COUNTIF(Ingredients!$A$5:$A$42,G15)&gt;0,"OK","Missing ingredient")</f>
        <v>OK</v>
      </c>
      <c r="X15" s="3"/>
      <c r="Y15" s="10" t="s">
        <v>434</v>
      </c>
    </row>
    <row r="16" customFormat="false" ht="15" hidden="false" customHeight="false" outlineLevel="0" collapsed="false">
      <c r="A16" s="10" t="s">
        <v>450</v>
      </c>
      <c r="B16" s="10" t="s">
        <v>451</v>
      </c>
      <c r="C16" s="10" t="s">
        <v>449</v>
      </c>
      <c r="D16" s="10" t="s">
        <v>426</v>
      </c>
      <c r="E16" s="10" t="s">
        <v>356</v>
      </c>
      <c r="F16" s="10" t="s">
        <v>354</v>
      </c>
      <c r="G16" s="10" t="s">
        <v>352</v>
      </c>
      <c r="H16" s="10" t="n">
        <v>13</v>
      </c>
      <c r="I16" s="10" t="n">
        <v>5</v>
      </c>
      <c r="J16" s="10" t="n">
        <v>4</v>
      </c>
      <c r="K16" s="9" t="n">
        <f aca="false">ROUND(H16*(1+Settings!$B$22*1),0)</f>
        <v>16</v>
      </c>
      <c r="L16" s="9" t="n">
        <f aca="false">ROUND(H16*(1+Settings!$B$22*2),0)</f>
        <v>18</v>
      </c>
      <c r="M16" s="9" t="n">
        <f aca="false">ROUND(H16*(1+Settings!$B$22*3),0)</f>
        <v>21</v>
      </c>
      <c r="N16" s="9" t="n">
        <f aca="false">ROUND(H16*(1+Settings!$B$22*4),0)</f>
        <v>23</v>
      </c>
      <c r="O16" s="9" t="n">
        <f aca="false">ROUND(H16*(1+Settings!$B$22*5),0)</f>
        <v>26</v>
      </c>
      <c r="P16" s="9" t="n">
        <f aca="false">ROUND(H16*(1+Settings!$B$22*6),0)</f>
        <v>29</v>
      </c>
      <c r="Q16" s="9" t="n">
        <f aca="false">ROUND(H16*(1+Settings!$B$22*7),0)</f>
        <v>31</v>
      </c>
      <c r="R16" s="9" t="n">
        <f aca="false">ROUND(H16*(1+Settings!$B$22*8),0)</f>
        <v>34</v>
      </c>
      <c r="S16" s="9" t="n">
        <f aca="false">ROUND(H16*(1+Settings!$B$22*9),0)</f>
        <v>36</v>
      </c>
      <c r="T16" s="21" t="n">
        <f aca="false">H16/I16</f>
        <v>2.6</v>
      </c>
      <c r="U16" s="9" t="n">
        <f aca="false">Settings!$B$25+Settings!$B$26*1</f>
        <v>8</v>
      </c>
      <c r="V16" s="9" t="n">
        <f aca="false">Settings!$B$25+Settings!$B$26*Settings!$B$23</f>
        <v>26</v>
      </c>
      <c r="W16" s="2" t="str">
        <f aca="false">IF(COUNTIF(Ingredients!$A$5:$A$42,E16)*COUNTIF(Ingredients!$A$5:$A$42,F16)*COUNTIF(Ingredients!$A$5:$A$42,G16)&gt;0,"OK","Missing ingredient")</f>
        <v>OK</v>
      </c>
      <c r="X16" s="3"/>
      <c r="Y16" s="10" t="s">
        <v>434</v>
      </c>
    </row>
    <row r="17" customFormat="false" ht="15" hidden="false" customHeight="false" outlineLevel="0" collapsed="false">
      <c r="A17" s="10" t="s">
        <v>452</v>
      </c>
      <c r="B17" s="10" t="s">
        <v>453</v>
      </c>
      <c r="C17" s="10" t="s">
        <v>449</v>
      </c>
      <c r="D17" s="10" t="s">
        <v>421</v>
      </c>
      <c r="E17" s="10" t="s">
        <v>324</v>
      </c>
      <c r="F17" s="10" t="s">
        <v>336</v>
      </c>
      <c r="G17" s="10" t="s">
        <v>358</v>
      </c>
      <c r="H17" s="10" t="n">
        <v>19</v>
      </c>
      <c r="I17" s="10" t="n">
        <v>7</v>
      </c>
      <c r="J17" s="10" t="n">
        <v>7</v>
      </c>
      <c r="K17" s="9" t="n">
        <f aca="false">ROUND(H17*(1+Settings!$B$22*1),0)</f>
        <v>23</v>
      </c>
      <c r="L17" s="9" t="n">
        <f aca="false">ROUND(H17*(1+Settings!$B$22*2),0)</f>
        <v>27</v>
      </c>
      <c r="M17" s="9" t="n">
        <f aca="false">ROUND(H17*(1+Settings!$B$22*3),0)</f>
        <v>30</v>
      </c>
      <c r="N17" s="9" t="n">
        <f aca="false">ROUND(H17*(1+Settings!$B$22*4),0)</f>
        <v>34</v>
      </c>
      <c r="O17" s="9" t="n">
        <f aca="false">ROUND(H17*(1+Settings!$B$22*5),0)</f>
        <v>38</v>
      </c>
      <c r="P17" s="9" t="n">
        <f aca="false">ROUND(H17*(1+Settings!$B$22*6),0)</f>
        <v>42</v>
      </c>
      <c r="Q17" s="9" t="n">
        <f aca="false">ROUND(H17*(1+Settings!$B$22*7),0)</f>
        <v>46</v>
      </c>
      <c r="R17" s="9" t="n">
        <f aca="false">ROUND(H17*(1+Settings!$B$22*8),0)</f>
        <v>49</v>
      </c>
      <c r="S17" s="9" t="n">
        <f aca="false">ROUND(H17*(1+Settings!$B$22*9),0)</f>
        <v>53</v>
      </c>
      <c r="T17" s="21" t="n">
        <f aca="false">H17/I17</f>
        <v>2.71428571428571</v>
      </c>
      <c r="U17" s="9" t="n">
        <f aca="false">Settings!$B$25+Settings!$B$26*1</f>
        <v>8</v>
      </c>
      <c r="V17" s="9" t="n">
        <f aca="false">Settings!$B$25+Settings!$B$26*Settings!$B$23</f>
        <v>26</v>
      </c>
      <c r="W17" s="2" t="str">
        <f aca="false">IF(COUNTIF(Ingredients!$A$5:$A$42,E17)*COUNTIF(Ingredients!$A$5:$A$42,F17)*COUNTIF(Ingredients!$A$5:$A$42,G17)&gt;0,"OK","Missing ingredient")</f>
        <v>OK</v>
      </c>
      <c r="X17" s="3"/>
      <c r="Y17" s="10" t="s">
        <v>434</v>
      </c>
    </row>
    <row r="18" customFormat="false" ht="15" hidden="false" customHeight="false" outlineLevel="0" collapsed="false">
      <c r="A18" s="10" t="s">
        <v>454</v>
      </c>
      <c r="B18" s="10" t="s">
        <v>455</v>
      </c>
      <c r="C18" s="10" t="s">
        <v>449</v>
      </c>
      <c r="D18" s="10" t="s">
        <v>421</v>
      </c>
      <c r="E18" s="10" t="s">
        <v>360</v>
      </c>
      <c r="F18" s="10" t="s">
        <v>362</v>
      </c>
      <c r="G18" s="10" t="s">
        <v>322</v>
      </c>
      <c r="H18" s="10" t="n">
        <v>15</v>
      </c>
      <c r="I18" s="10" t="n">
        <v>6</v>
      </c>
      <c r="J18" s="10" t="n">
        <v>8</v>
      </c>
      <c r="K18" s="9" t="n">
        <f aca="false">ROUND(H18*(1+Settings!$B$22*1),0)</f>
        <v>18</v>
      </c>
      <c r="L18" s="9" t="n">
        <f aca="false">ROUND(H18*(1+Settings!$B$22*2),0)</f>
        <v>21</v>
      </c>
      <c r="M18" s="9" t="n">
        <f aca="false">ROUND(H18*(1+Settings!$B$22*3),0)</f>
        <v>24</v>
      </c>
      <c r="N18" s="9" t="n">
        <f aca="false">ROUND(H18*(1+Settings!$B$22*4),0)</f>
        <v>27</v>
      </c>
      <c r="O18" s="9" t="n">
        <f aca="false">ROUND(H18*(1+Settings!$B$22*5),0)</f>
        <v>30</v>
      </c>
      <c r="P18" s="9" t="n">
        <f aca="false">ROUND(H18*(1+Settings!$B$22*6),0)</f>
        <v>33</v>
      </c>
      <c r="Q18" s="9" t="n">
        <f aca="false">ROUND(H18*(1+Settings!$B$22*7),0)</f>
        <v>36</v>
      </c>
      <c r="R18" s="9" t="n">
        <f aca="false">ROUND(H18*(1+Settings!$B$22*8),0)</f>
        <v>39</v>
      </c>
      <c r="S18" s="9" t="n">
        <f aca="false">ROUND(H18*(1+Settings!$B$22*9),0)</f>
        <v>42</v>
      </c>
      <c r="T18" s="21" t="n">
        <f aca="false">H18/I18</f>
        <v>2.5</v>
      </c>
      <c r="U18" s="9" t="n">
        <f aca="false">Settings!$B$25+Settings!$B$26*1</f>
        <v>8</v>
      </c>
      <c r="V18" s="9" t="n">
        <f aca="false">Settings!$B$25+Settings!$B$26*Settings!$B$23</f>
        <v>26</v>
      </c>
      <c r="W18" s="2" t="str">
        <f aca="false">IF(COUNTIF(Ingredients!$A$5:$A$42,E18)*COUNTIF(Ingredients!$A$5:$A$42,F18)*COUNTIF(Ingredients!$A$5:$A$42,G18)&gt;0,"OK","Missing ingredient")</f>
        <v>OK</v>
      </c>
      <c r="X18" s="3"/>
      <c r="Y18" s="10" t="s">
        <v>434</v>
      </c>
    </row>
    <row r="19" customFormat="false" ht="15" hidden="false" customHeight="false" outlineLevel="0" collapsed="false">
      <c r="A19" s="10" t="s">
        <v>456</v>
      </c>
      <c r="B19" s="10" t="s">
        <v>457</v>
      </c>
      <c r="C19" s="10" t="s">
        <v>449</v>
      </c>
      <c r="D19" s="10" t="s">
        <v>433</v>
      </c>
      <c r="E19" s="10" t="s">
        <v>388</v>
      </c>
      <c r="F19" s="10" t="s">
        <v>350</v>
      </c>
      <c r="G19" s="10" t="s">
        <v>352</v>
      </c>
      <c r="H19" s="10" t="n">
        <v>9</v>
      </c>
      <c r="I19" s="10" t="n">
        <v>3</v>
      </c>
      <c r="J19" s="10" t="n">
        <v>17</v>
      </c>
      <c r="K19" s="9" t="n">
        <f aca="false">ROUND(H19*(1+Settings!$B$22*1),0)</f>
        <v>11</v>
      </c>
      <c r="L19" s="9" t="n">
        <f aca="false">ROUND(H19*(1+Settings!$B$22*2),0)</f>
        <v>13</v>
      </c>
      <c r="M19" s="9" t="n">
        <f aca="false">ROUND(H19*(1+Settings!$B$22*3),0)</f>
        <v>14</v>
      </c>
      <c r="N19" s="9" t="n">
        <f aca="false">ROUND(H19*(1+Settings!$B$22*4),0)</f>
        <v>16</v>
      </c>
      <c r="O19" s="9" t="n">
        <f aca="false">ROUND(H19*(1+Settings!$B$22*5),0)</f>
        <v>18</v>
      </c>
      <c r="P19" s="9" t="n">
        <f aca="false">ROUND(H19*(1+Settings!$B$22*6),0)</f>
        <v>20</v>
      </c>
      <c r="Q19" s="9" t="n">
        <f aca="false">ROUND(H19*(1+Settings!$B$22*7),0)</f>
        <v>22</v>
      </c>
      <c r="R19" s="9" t="n">
        <f aca="false">ROUND(H19*(1+Settings!$B$22*8),0)</f>
        <v>23</v>
      </c>
      <c r="S19" s="9" t="n">
        <f aca="false">ROUND(H19*(1+Settings!$B$22*9),0)</f>
        <v>25</v>
      </c>
      <c r="T19" s="21" t="n">
        <f aca="false">H19/I19</f>
        <v>3</v>
      </c>
      <c r="U19" s="9" t="n">
        <f aca="false">Settings!$B$25+Settings!$B$26*1</f>
        <v>8</v>
      </c>
      <c r="V19" s="9" t="n">
        <f aca="false">Settings!$B$25+Settings!$B$26*Settings!$B$23</f>
        <v>26</v>
      </c>
      <c r="W19" s="2" t="str">
        <f aca="false">IF(COUNTIF(Ingredients!$A$5:$A$42,E19)*COUNTIF(Ingredients!$A$5:$A$42,F19)*COUNTIF(Ingredients!$A$5:$A$42,G19)&gt;0,"OK","Missing ingredient")</f>
        <v>OK</v>
      </c>
      <c r="X19" s="3"/>
      <c r="Y19" s="10" t="s">
        <v>434</v>
      </c>
    </row>
    <row r="20" customFormat="false" ht="15" hidden="false" customHeight="false" outlineLevel="0" collapsed="false">
      <c r="A20" s="10" t="s">
        <v>458</v>
      </c>
      <c r="B20" s="10" t="s">
        <v>459</v>
      </c>
      <c r="C20" s="10" t="s">
        <v>460</v>
      </c>
      <c r="D20" s="10" t="s">
        <v>421</v>
      </c>
      <c r="E20" s="10" t="s">
        <v>336</v>
      </c>
      <c r="F20" s="10" t="s">
        <v>364</v>
      </c>
      <c r="G20" s="10" t="s">
        <v>366</v>
      </c>
      <c r="H20" s="10" t="n">
        <v>18</v>
      </c>
      <c r="I20" s="10" t="n">
        <v>7</v>
      </c>
      <c r="J20" s="10" t="n">
        <v>1</v>
      </c>
      <c r="K20" s="9" t="n">
        <f aca="false">ROUND(H20*(1+Settings!$B$22*1),0)</f>
        <v>22</v>
      </c>
      <c r="L20" s="9" t="n">
        <f aca="false">ROUND(H20*(1+Settings!$B$22*2),0)</f>
        <v>25</v>
      </c>
      <c r="M20" s="9" t="n">
        <f aca="false">ROUND(H20*(1+Settings!$B$22*3),0)</f>
        <v>29</v>
      </c>
      <c r="N20" s="9" t="n">
        <f aca="false">ROUND(H20*(1+Settings!$B$22*4),0)</f>
        <v>32</v>
      </c>
      <c r="O20" s="9" t="n">
        <f aca="false">ROUND(H20*(1+Settings!$B$22*5),0)</f>
        <v>36</v>
      </c>
      <c r="P20" s="9" t="n">
        <f aca="false">ROUND(H20*(1+Settings!$B$22*6),0)</f>
        <v>40</v>
      </c>
      <c r="Q20" s="9" t="n">
        <f aca="false">ROUND(H20*(1+Settings!$B$22*7),0)</f>
        <v>43</v>
      </c>
      <c r="R20" s="9" t="n">
        <f aca="false">ROUND(H20*(1+Settings!$B$22*8),0)</f>
        <v>47</v>
      </c>
      <c r="S20" s="9" t="n">
        <f aca="false">ROUND(H20*(1+Settings!$B$22*9),0)</f>
        <v>50</v>
      </c>
      <c r="T20" s="21" t="n">
        <f aca="false">H20/I20</f>
        <v>2.57142857142857</v>
      </c>
      <c r="U20" s="9" t="n">
        <f aca="false">Settings!$B$25+Settings!$B$26*1</f>
        <v>8</v>
      </c>
      <c r="V20" s="9" t="n">
        <f aca="false">Settings!$B$25+Settings!$B$26*Settings!$B$23</f>
        <v>26</v>
      </c>
      <c r="W20" s="2" t="str">
        <f aca="false">IF(COUNTIF(Ingredients!$A$5:$A$42,E20)*COUNTIF(Ingredients!$A$5:$A$42,F20)*COUNTIF(Ingredients!$A$5:$A$42,G20)&gt;0,"OK","Missing ingredient")</f>
        <v>OK</v>
      </c>
      <c r="X20" s="3" t="s">
        <v>422</v>
      </c>
      <c r="Y20" s="10" t="s">
        <v>423</v>
      </c>
    </row>
    <row r="21" customFormat="false" ht="15" hidden="false" customHeight="false" outlineLevel="0" collapsed="false">
      <c r="A21" s="10" t="s">
        <v>461</v>
      </c>
      <c r="B21" s="10" t="s">
        <v>462</v>
      </c>
      <c r="C21" s="10" t="s">
        <v>460</v>
      </c>
      <c r="D21" s="10" t="s">
        <v>421</v>
      </c>
      <c r="E21" s="10" t="s">
        <v>368</v>
      </c>
      <c r="F21" s="10" t="s">
        <v>342</v>
      </c>
      <c r="G21" s="10" t="s">
        <v>366</v>
      </c>
      <c r="H21" s="10" t="n">
        <v>17</v>
      </c>
      <c r="I21" s="10" t="n">
        <v>6</v>
      </c>
      <c r="J21" s="10" t="n">
        <v>5</v>
      </c>
      <c r="K21" s="9" t="n">
        <f aca="false">ROUND(H21*(1+Settings!$B$22*1),0)</f>
        <v>20</v>
      </c>
      <c r="L21" s="9" t="n">
        <f aca="false">ROUND(H21*(1+Settings!$B$22*2),0)</f>
        <v>24</v>
      </c>
      <c r="M21" s="9" t="n">
        <f aca="false">ROUND(H21*(1+Settings!$B$22*3),0)</f>
        <v>27</v>
      </c>
      <c r="N21" s="9" t="n">
        <f aca="false">ROUND(H21*(1+Settings!$B$22*4),0)</f>
        <v>31</v>
      </c>
      <c r="O21" s="9" t="n">
        <f aca="false">ROUND(H21*(1+Settings!$B$22*5),0)</f>
        <v>34</v>
      </c>
      <c r="P21" s="9" t="n">
        <f aca="false">ROUND(H21*(1+Settings!$B$22*6),0)</f>
        <v>37</v>
      </c>
      <c r="Q21" s="9" t="n">
        <f aca="false">ROUND(H21*(1+Settings!$B$22*7),0)</f>
        <v>41</v>
      </c>
      <c r="R21" s="9" t="n">
        <f aca="false">ROUND(H21*(1+Settings!$B$22*8),0)</f>
        <v>44</v>
      </c>
      <c r="S21" s="9" t="n">
        <f aca="false">ROUND(H21*(1+Settings!$B$22*9),0)</f>
        <v>48</v>
      </c>
      <c r="T21" s="21" t="n">
        <f aca="false">H21/I21</f>
        <v>2.83333333333333</v>
      </c>
      <c r="U21" s="9" t="n">
        <f aca="false">Settings!$B$25+Settings!$B$26*1</f>
        <v>8</v>
      </c>
      <c r="V21" s="9" t="n">
        <f aca="false">Settings!$B$25+Settings!$B$26*Settings!$B$23</f>
        <v>26</v>
      </c>
      <c r="W21" s="2" t="str">
        <f aca="false">IF(COUNTIF(Ingredients!$A$5:$A$42,E21)*COUNTIF(Ingredients!$A$5:$A$42,F21)*COUNTIF(Ingredients!$A$5:$A$42,G21)&gt;0,"OK","Missing ingredient")</f>
        <v>OK</v>
      </c>
      <c r="X21" s="3" t="s">
        <v>463</v>
      </c>
      <c r="Y21" s="10" t="s">
        <v>434</v>
      </c>
    </row>
    <row r="22" customFormat="false" ht="15" hidden="false" customHeight="false" outlineLevel="0" collapsed="false">
      <c r="A22" s="10" t="s">
        <v>464</v>
      </c>
      <c r="B22" s="10" t="s">
        <v>465</v>
      </c>
      <c r="C22" s="10" t="s">
        <v>460</v>
      </c>
      <c r="D22" s="10" t="s">
        <v>421</v>
      </c>
      <c r="E22" s="10" t="s">
        <v>317</v>
      </c>
      <c r="F22" s="10" t="s">
        <v>370</v>
      </c>
      <c r="G22" s="10" t="s">
        <v>338</v>
      </c>
      <c r="H22" s="10" t="n">
        <v>19</v>
      </c>
      <c r="I22" s="10" t="n">
        <v>8</v>
      </c>
      <c r="J22" s="10" t="n">
        <v>9</v>
      </c>
      <c r="K22" s="9" t="n">
        <f aca="false">ROUND(H22*(1+Settings!$B$22*1),0)</f>
        <v>23</v>
      </c>
      <c r="L22" s="9" t="n">
        <f aca="false">ROUND(H22*(1+Settings!$B$22*2),0)</f>
        <v>27</v>
      </c>
      <c r="M22" s="9" t="n">
        <f aca="false">ROUND(H22*(1+Settings!$B$22*3),0)</f>
        <v>30</v>
      </c>
      <c r="N22" s="9" t="n">
        <f aca="false">ROUND(H22*(1+Settings!$B$22*4),0)</f>
        <v>34</v>
      </c>
      <c r="O22" s="9" t="n">
        <f aca="false">ROUND(H22*(1+Settings!$B$22*5),0)</f>
        <v>38</v>
      </c>
      <c r="P22" s="9" t="n">
        <f aca="false">ROUND(H22*(1+Settings!$B$22*6),0)</f>
        <v>42</v>
      </c>
      <c r="Q22" s="9" t="n">
        <f aca="false">ROUND(H22*(1+Settings!$B$22*7),0)</f>
        <v>46</v>
      </c>
      <c r="R22" s="9" t="n">
        <f aca="false">ROUND(H22*(1+Settings!$B$22*8),0)</f>
        <v>49</v>
      </c>
      <c r="S22" s="9" t="n">
        <f aca="false">ROUND(H22*(1+Settings!$B$22*9),0)</f>
        <v>53</v>
      </c>
      <c r="T22" s="21" t="n">
        <f aca="false">H22/I22</f>
        <v>2.375</v>
      </c>
      <c r="U22" s="9" t="n">
        <f aca="false">Settings!$B$25+Settings!$B$26*1</f>
        <v>8</v>
      </c>
      <c r="V22" s="9" t="n">
        <f aca="false">Settings!$B$25+Settings!$B$26*Settings!$B$23</f>
        <v>26</v>
      </c>
      <c r="W22" s="2" t="str">
        <f aca="false">IF(COUNTIF(Ingredients!$A$5:$A$42,E22)*COUNTIF(Ingredients!$A$5:$A$42,F22)*COUNTIF(Ingredients!$A$5:$A$42,G22)&gt;0,"OK","Missing ingredient")</f>
        <v>OK</v>
      </c>
      <c r="X22" s="3"/>
      <c r="Y22" s="10" t="s">
        <v>434</v>
      </c>
    </row>
    <row r="23" customFormat="false" ht="15" hidden="false" customHeight="false" outlineLevel="0" collapsed="false">
      <c r="A23" s="10" t="s">
        <v>466</v>
      </c>
      <c r="B23" s="10" t="s">
        <v>467</v>
      </c>
      <c r="C23" s="10" t="s">
        <v>460</v>
      </c>
      <c r="D23" s="10" t="s">
        <v>444</v>
      </c>
      <c r="E23" s="10" t="s">
        <v>372</v>
      </c>
      <c r="F23" s="10" t="s">
        <v>374</v>
      </c>
      <c r="G23" s="10" t="s">
        <v>352</v>
      </c>
      <c r="H23" s="10" t="n">
        <v>16</v>
      </c>
      <c r="I23" s="10" t="n">
        <v>5</v>
      </c>
      <c r="J23" s="10" t="n">
        <v>10</v>
      </c>
      <c r="K23" s="9" t="n">
        <f aca="false">ROUND(H23*(1+Settings!$B$22*1),0)</f>
        <v>19</v>
      </c>
      <c r="L23" s="9" t="n">
        <f aca="false">ROUND(H23*(1+Settings!$B$22*2),0)</f>
        <v>22</v>
      </c>
      <c r="M23" s="9" t="n">
        <f aca="false">ROUND(H23*(1+Settings!$B$22*3),0)</f>
        <v>26</v>
      </c>
      <c r="N23" s="9" t="n">
        <f aca="false">ROUND(H23*(1+Settings!$B$22*4),0)</f>
        <v>29</v>
      </c>
      <c r="O23" s="9" t="n">
        <f aca="false">ROUND(H23*(1+Settings!$B$22*5),0)</f>
        <v>32</v>
      </c>
      <c r="P23" s="9" t="n">
        <f aca="false">ROUND(H23*(1+Settings!$B$22*6),0)</f>
        <v>35</v>
      </c>
      <c r="Q23" s="9" t="n">
        <f aca="false">ROUND(H23*(1+Settings!$B$22*7),0)</f>
        <v>38</v>
      </c>
      <c r="R23" s="9" t="n">
        <f aca="false">ROUND(H23*(1+Settings!$B$22*8),0)</f>
        <v>42</v>
      </c>
      <c r="S23" s="9" t="n">
        <f aca="false">ROUND(H23*(1+Settings!$B$22*9),0)</f>
        <v>45</v>
      </c>
      <c r="T23" s="21" t="n">
        <f aca="false">H23/I23</f>
        <v>3.2</v>
      </c>
      <c r="U23" s="9" t="n">
        <f aca="false">Settings!$B$25+Settings!$B$26*1</f>
        <v>8</v>
      </c>
      <c r="V23" s="9" t="n">
        <f aca="false">Settings!$B$25+Settings!$B$26*Settings!$B$23</f>
        <v>26</v>
      </c>
      <c r="W23" s="2" t="str">
        <f aca="false">IF(COUNTIF(Ingredients!$A$5:$A$42,E23)*COUNTIF(Ingredients!$A$5:$A$42,F23)*COUNTIF(Ingredients!$A$5:$A$42,G23)&gt;0,"OK","Missing ingredient")</f>
        <v>OK</v>
      </c>
      <c r="X23" s="3"/>
      <c r="Y23" s="10" t="s">
        <v>434</v>
      </c>
    </row>
    <row r="24" customFormat="false" ht="15" hidden="false" customHeight="false" outlineLevel="0" collapsed="false">
      <c r="A24" s="10" t="s">
        <v>468</v>
      </c>
      <c r="B24" s="10" t="s">
        <v>469</v>
      </c>
      <c r="C24" s="10" t="s">
        <v>460</v>
      </c>
      <c r="D24" s="10" t="s">
        <v>433</v>
      </c>
      <c r="E24" s="10" t="s">
        <v>390</v>
      </c>
      <c r="F24" s="10" t="s">
        <v>352</v>
      </c>
      <c r="G24" s="10" t="s">
        <v>386</v>
      </c>
      <c r="H24" s="10" t="n">
        <v>9</v>
      </c>
      <c r="I24" s="10" t="n">
        <v>3</v>
      </c>
      <c r="J24" s="10" t="n">
        <v>18</v>
      </c>
      <c r="K24" s="9" t="n">
        <f aca="false">ROUND(H24*(1+Settings!$B$22*1),0)</f>
        <v>11</v>
      </c>
      <c r="L24" s="9" t="n">
        <f aca="false">ROUND(H24*(1+Settings!$B$22*2),0)</f>
        <v>13</v>
      </c>
      <c r="M24" s="9" t="n">
        <f aca="false">ROUND(H24*(1+Settings!$B$22*3),0)</f>
        <v>14</v>
      </c>
      <c r="N24" s="9" t="n">
        <f aca="false">ROUND(H24*(1+Settings!$B$22*4),0)</f>
        <v>16</v>
      </c>
      <c r="O24" s="9" t="n">
        <f aca="false">ROUND(H24*(1+Settings!$B$22*5),0)</f>
        <v>18</v>
      </c>
      <c r="P24" s="9" t="n">
        <f aca="false">ROUND(H24*(1+Settings!$B$22*6),0)</f>
        <v>20</v>
      </c>
      <c r="Q24" s="9" t="n">
        <f aca="false">ROUND(H24*(1+Settings!$B$22*7),0)</f>
        <v>22</v>
      </c>
      <c r="R24" s="9" t="n">
        <f aca="false">ROUND(H24*(1+Settings!$B$22*8),0)</f>
        <v>23</v>
      </c>
      <c r="S24" s="9" t="n">
        <f aca="false">ROUND(H24*(1+Settings!$B$22*9),0)</f>
        <v>25</v>
      </c>
      <c r="T24" s="21" t="n">
        <f aca="false">H24/I24</f>
        <v>3</v>
      </c>
      <c r="U24" s="9" t="n">
        <f aca="false">Settings!$B$25+Settings!$B$26*1</f>
        <v>8</v>
      </c>
      <c r="V24" s="9" t="n">
        <f aca="false">Settings!$B$25+Settings!$B$26*Settings!$B$23</f>
        <v>26</v>
      </c>
      <c r="W24" s="2" t="str">
        <f aca="false">IF(COUNTIF(Ingredients!$A$5:$A$42,E24)*COUNTIF(Ingredients!$A$5:$A$42,F24)*COUNTIF(Ingredients!$A$5:$A$42,G24)&gt;0,"OK","Missing ingredient")</f>
        <v>OK</v>
      </c>
      <c r="X24" s="3"/>
      <c r="Y24" s="10" t="s">
        <v>434</v>
      </c>
    </row>
    <row r="25" customFormat="false" ht="15" hidden="false" customHeight="false" outlineLevel="0" collapsed="false">
      <c r="A25" s="10" t="s">
        <v>470</v>
      </c>
      <c r="B25" s="10" t="s">
        <v>471</v>
      </c>
      <c r="C25" s="10" t="s">
        <v>472</v>
      </c>
      <c r="D25" s="10" t="s">
        <v>421</v>
      </c>
      <c r="E25" s="10" t="s">
        <v>376</v>
      </c>
      <c r="F25" s="10" t="s">
        <v>366</v>
      </c>
      <c r="G25" s="10" t="s">
        <v>378</v>
      </c>
      <c r="H25" s="10" t="n">
        <v>15</v>
      </c>
      <c r="I25" s="10" t="n">
        <v>6</v>
      </c>
      <c r="J25" s="10" t="n">
        <v>1</v>
      </c>
      <c r="K25" s="9" t="n">
        <f aca="false">ROUND(H25*(1+Settings!$B$22*1),0)</f>
        <v>18</v>
      </c>
      <c r="L25" s="9" t="n">
        <f aca="false">ROUND(H25*(1+Settings!$B$22*2),0)</f>
        <v>21</v>
      </c>
      <c r="M25" s="9" t="n">
        <f aca="false">ROUND(H25*(1+Settings!$B$22*3),0)</f>
        <v>24</v>
      </c>
      <c r="N25" s="9" t="n">
        <f aca="false">ROUND(H25*(1+Settings!$B$22*4),0)</f>
        <v>27</v>
      </c>
      <c r="O25" s="9" t="n">
        <f aca="false">ROUND(H25*(1+Settings!$B$22*5),0)</f>
        <v>30</v>
      </c>
      <c r="P25" s="9" t="n">
        <f aca="false">ROUND(H25*(1+Settings!$B$22*6),0)</f>
        <v>33</v>
      </c>
      <c r="Q25" s="9" t="n">
        <f aca="false">ROUND(H25*(1+Settings!$B$22*7),0)</f>
        <v>36</v>
      </c>
      <c r="R25" s="9" t="n">
        <f aca="false">ROUND(H25*(1+Settings!$B$22*8),0)</f>
        <v>39</v>
      </c>
      <c r="S25" s="9" t="n">
        <f aca="false">ROUND(H25*(1+Settings!$B$22*9),0)</f>
        <v>42</v>
      </c>
      <c r="T25" s="21" t="n">
        <f aca="false">H25/I25</f>
        <v>2.5</v>
      </c>
      <c r="U25" s="9" t="n">
        <f aca="false">Settings!$B$25+Settings!$B$26*1</f>
        <v>8</v>
      </c>
      <c r="V25" s="9" t="n">
        <f aca="false">Settings!$B$25+Settings!$B$26*Settings!$B$23</f>
        <v>26</v>
      </c>
      <c r="W25" s="2" t="str">
        <f aca="false">IF(COUNTIF(Ingredients!$A$5:$A$42,E25)*COUNTIF(Ingredients!$A$5:$A$42,F25)*COUNTIF(Ingredients!$A$5:$A$42,G25)&gt;0,"OK","Missing ingredient")</f>
        <v>OK</v>
      </c>
      <c r="X25" s="3" t="s">
        <v>422</v>
      </c>
      <c r="Y25" s="10" t="s">
        <v>423</v>
      </c>
    </row>
    <row r="26" customFormat="false" ht="15" hidden="false" customHeight="false" outlineLevel="0" collapsed="false">
      <c r="A26" s="10" t="s">
        <v>473</v>
      </c>
      <c r="B26" s="10" t="s">
        <v>474</v>
      </c>
      <c r="C26" s="10" t="s">
        <v>472</v>
      </c>
      <c r="D26" s="10" t="s">
        <v>421</v>
      </c>
      <c r="E26" s="10" t="s">
        <v>368</v>
      </c>
      <c r="F26" s="10" t="s">
        <v>366</v>
      </c>
      <c r="G26" s="10" t="s">
        <v>350</v>
      </c>
      <c r="H26" s="10" t="n">
        <v>12</v>
      </c>
      <c r="I26" s="10" t="n">
        <v>5</v>
      </c>
      <c r="J26" s="10" t="n">
        <v>2</v>
      </c>
      <c r="K26" s="9" t="n">
        <f aca="false">ROUND(H26*(1+Settings!$B$22*1),0)</f>
        <v>14</v>
      </c>
      <c r="L26" s="9" t="n">
        <f aca="false">ROUND(H26*(1+Settings!$B$22*2),0)</f>
        <v>17</v>
      </c>
      <c r="M26" s="9" t="n">
        <f aca="false">ROUND(H26*(1+Settings!$B$22*3),0)</f>
        <v>19</v>
      </c>
      <c r="N26" s="9" t="n">
        <f aca="false">ROUND(H26*(1+Settings!$B$22*4),0)</f>
        <v>22</v>
      </c>
      <c r="O26" s="9" t="n">
        <f aca="false">ROUND(H26*(1+Settings!$B$22*5),0)</f>
        <v>24</v>
      </c>
      <c r="P26" s="9" t="n">
        <f aca="false">ROUND(H26*(1+Settings!$B$22*6),0)</f>
        <v>26</v>
      </c>
      <c r="Q26" s="9" t="n">
        <f aca="false">ROUND(H26*(1+Settings!$B$22*7),0)</f>
        <v>29</v>
      </c>
      <c r="R26" s="9" t="n">
        <f aca="false">ROUND(H26*(1+Settings!$B$22*8),0)</f>
        <v>31</v>
      </c>
      <c r="S26" s="9" t="n">
        <f aca="false">ROUND(H26*(1+Settings!$B$22*9),0)</f>
        <v>34</v>
      </c>
      <c r="T26" s="21" t="n">
        <f aca="false">H26/I26</f>
        <v>2.4</v>
      </c>
      <c r="U26" s="9" t="n">
        <f aca="false">Settings!$B$25+Settings!$B$26*1</f>
        <v>8</v>
      </c>
      <c r="V26" s="9" t="n">
        <f aca="false">Settings!$B$25+Settings!$B$26*Settings!$B$23</f>
        <v>26</v>
      </c>
      <c r="W26" s="2" t="str">
        <f aca="false">IF(COUNTIF(Ingredients!$A$5:$A$42,E26)*COUNTIF(Ingredients!$A$5:$A$42,F26)*COUNTIF(Ingredients!$A$5:$A$42,G26)&gt;0,"OK","Missing ingredient")</f>
        <v>OK</v>
      </c>
      <c r="X26" s="3"/>
      <c r="Y26" s="10" t="s">
        <v>434</v>
      </c>
    </row>
    <row r="27" customFormat="false" ht="15" hidden="false" customHeight="false" outlineLevel="0" collapsed="false">
      <c r="A27" s="10" t="s">
        <v>475</v>
      </c>
      <c r="B27" s="10" t="s">
        <v>476</v>
      </c>
      <c r="C27" s="10" t="s">
        <v>472</v>
      </c>
      <c r="D27" s="10" t="s">
        <v>444</v>
      </c>
      <c r="E27" s="10" t="s">
        <v>336</v>
      </c>
      <c r="F27" s="10" t="s">
        <v>342</v>
      </c>
      <c r="G27" s="10" t="s">
        <v>350</v>
      </c>
      <c r="H27" s="10" t="n">
        <v>11</v>
      </c>
      <c r="I27" s="10" t="n">
        <v>4</v>
      </c>
      <c r="J27" s="10" t="n">
        <v>1</v>
      </c>
      <c r="K27" s="9" t="n">
        <f aca="false">ROUND(H27*(1+Settings!$B$22*1),0)</f>
        <v>13</v>
      </c>
      <c r="L27" s="9" t="n">
        <f aca="false">ROUND(H27*(1+Settings!$B$22*2),0)</f>
        <v>15</v>
      </c>
      <c r="M27" s="9" t="n">
        <f aca="false">ROUND(H27*(1+Settings!$B$22*3),0)</f>
        <v>18</v>
      </c>
      <c r="N27" s="9" t="n">
        <f aca="false">ROUND(H27*(1+Settings!$B$22*4),0)</f>
        <v>20</v>
      </c>
      <c r="O27" s="9" t="n">
        <f aca="false">ROUND(H27*(1+Settings!$B$22*5),0)</f>
        <v>22</v>
      </c>
      <c r="P27" s="9" t="n">
        <f aca="false">ROUND(H27*(1+Settings!$B$22*6),0)</f>
        <v>24</v>
      </c>
      <c r="Q27" s="9" t="n">
        <f aca="false">ROUND(H27*(1+Settings!$B$22*7),0)</f>
        <v>26</v>
      </c>
      <c r="R27" s="9" t="n">
        <f aca="false">ROUND(H27*(1+Settings!$B$22*8),0)</f>
        <v>29</v>
      </c>
      <c r="S27" s="9" t="n">
        <f aca="false">ROUND(H27*(1+Settings!$B$22*9),0)</f>
        <v>31</v>
      </c>
      <c r="T27" s="21" t="n">
        <f aca="false">H27/I27</f>
        <v>2.75</v>
      </c>
      <c r="U27" s="9" t="n">
        <f aca="false">Settings!$B$25+Settings!$B$26*1</f>
        <v>8</v>
      </c>
      <c r="V27" s="9" t="n">
        <f aca="false">Settings!$B$25+Settings!$B$26*Settings!$B$23</f>
        <v>26</v>
      </c>
      <c r="W27" s="2" t="str">
        <f aca="false">IF(COUNTIF(Ingredients!$A$5:$A$42,E27)*COUNTIF(Ingredients!$A$5:$A$42,F27)*COUNTIF(Ingredients!$A$5:$A$42,G27)&gt;0,"OK","Missing ingredient")</f>
        <v>OK</v>
      </c>
      <c r="X27" s="3" t="s">
        <v>477</v>
      </c>
      <c r="Y27" s="10" t="s">
        <v>423</v>
      </c>
    </row>
    <row r="28" customFormat="false" ht="15" hidden="false" customHeight="false" outlineLevel="0" collapsed="false">
      <c r="A28" s="10" t="s">
        <v>478</v>
      </c>
      <c r="B28" s="10" t="s">
        <v>479</v>
      </c>
      <c r="C28" s="10" t="s">
        <v>472</v>
      </c>
      <c r="D28" s="10" t="s">
        <v>426</v>
      </c>
      <c r="E28" s="10" t="s">
        <v>380</v>
      </c>
      <c r="F28" s="10" t="s">
        <v>378</v>
      </c>
      <c r="G28" s="10" t="s">
        <v>382</v>
      </c>
      <c r="H28" s="10" t="n">
        <v>12</v>
      </c>
      <c r="I28" s="10" t="n">
        <v>4</v>
      </c>
      <c r="J28" s="10" t="n">
        <v>6</v>
      </c>
      <c r="K28" s="9" t="n">
        <f aca="false">ROUND(H28*(1+Settings!$B$22*1),0)</f>
        <v>14</v>
      </c>
      <c r="L28" s="9" t="n">
        <f aca="false">ROUND(H28*(1+Settings!$B$22*2),0)</f>
        <v>17</v>
      </c>
      <c r="M28" s="9" t="n">
        <f aca="false">ROUND(H28*(1+Settings!$B$22*3),0)</f>
        <v>19</v>
      </c>
      <c r="N28" s="9" t="n">
        <f aca="false">ROUND(H28*(1+Settings!$B$22*4),0)</f>
        <v>22</v>
      </c>
      <c r="O28" s="9" t="n">
        <f aca="false">ROUND(H28*(1+Settings!$B$22*5),0)</f>
        <v>24</v>
      </c>
      <c r="P28" s="9" t="n">
        <f aca="false">ROUND(H28*(1+Settings!$B$22*6),0)</f>
        <v>26</v>
      </c>
      <c r="Q28" s="9" t="n">
        <f aca="false">ROUND(H28*(1+Settings!$B$22*7),0)</f>
        <v>29</v>
      </c>
      <c r="R28" s="9" t="n">
        <f aca="false">ROUND(H28*(1+Settings!$B$22*8),0)</f>
        <v>31</v>
      </c>
      <c r="S28" s="9" t="n">
        <f aca="false">ROUND(H28*(1+Settings!$B$22*9),0)</f>
        <v>34</v>
      </c>
      <c r="T28" s="21" t="n">
        <f aca="false">H28/I28</f>
        <v>3</v>
      </c>
      <c r="U28" s="9" t="n">
        <f aca="false">Settings!$B$25+Settings!$B$26*1</f>
        <v>8</v>
      </c>
      <c r="V28" s="9" t="n">
        <f aca="false">Settings!$B$25+Settings!$B$26*Settings!$B$23</f>
        <v>26</v>
      </c>
      <c r="W28" s="2" t="str">
        <f aca="false">IF(COUNTIF(Ingredients!$A$5:$A$42,E28)*COUNTIF(Ingredients!$A$5:$A$42,F28)*COUNTIF(Ingredients!$A$5:$A$42,G28)&gt;0,"OK","Missing ingredient")</f>
        <v>OK</v>
      </c>
      <c r="X28" s="3" t="s">
        <v>480</v>
      </c>
      <c r="Y28" s="10" t="s">
        <v>434</v>
      </c>
    </row>
    <row r="29" customFormat="false" ht="15" hidden="false" customHeight="false" outlineLevel="0" collapsed="false">
      <c r="A29" s="10" t="s">
        <v>481</v>
      </c>
      <c r="B29" s="10" t="s">
        <v>482</v>
      </c>
      <c r="C29" s="10" t="s">
        <v>472</v>
      </c>
      <c r="D29" s="10" t="s">
        <v>433</v>
      </c>
      <c r="E29" s="10" t="s">
        <v>392</v>
      </c>
      <c r="F29" s="10" t="s">
        <v>350</v>
      </c>
      <c r="G29" s="10" t="s">
        <v>386</v>
      </c>
      <c r="H29" s="10" t="n">
        <v>10</v>
      </c>
      <c r="I29" s="10" t="n">
        <v>3</v>
      </c>
      <c r="J29" s="10" t="n">
        <v>20</v>
      </c>
      <c r="K29" s="9" t="n">
        <f aca="false">ROUND(H29*(1+Settings!$B$22*1),0)</f>
        <v>12</v>
      </c>
      <c r="L29" s="9" t="n">
        <f aca="false">ROUND(H29*(1+Settings!$B$22*2),0)</f>
        <v>14</v>
      </c>
      <c r="M29" s="9" t="n">
        <f aca="false">ROUND(H29*(1+Settings!$B$22*3),0)</f>
        <v>16</v>
      </c>
      <c r="N29" s="9" t="n">
        <f aca="false">ROUND(H29*(1+Settings!$B$22*4),0)</f>
        <v>18</v>
      </c>
      <c r="O29" s="9" t="n">
        <f aca="false">ROUND(H29*(1+Settings!$B$22*5),0)</f>
        <v>20</v>
      </c>
      <c r="P29" s="9" t="n">
        <f aca="false">ROUND(H29*(1+Settings!$B$22*6),0)</f>
        <v>22</v>
      </c>
      <c r="Q29" s="9" t="n">
        <f aca="false">ROUND(H29*(1+Settings!$B$22*7),0)</f>
        <v>24</v>
      </c>
      <c r="R29" s="9" t="n">
        <f aca="false">ROUND(H29*(1+Settings!$B$22*8),0)</f>
        <v>26</v>
      </c>
      <c r="S29" s="9" t="n">
        <f aca="false">ROUND(H29*(1+Settings!$B$22*9),0)</f>
        <v>28</v>
      </c>
      <c r="T29" s="21" t="n">
        <f aca="false">H29/I29</f>
        <v>3.33333333333333</v>
      </c>
      <c r="U29" s="9" t="n">
        <f aca="false">Settings!$B$25+Settings!$B$26*1</f>
        <v>8</v>
      </c>
      <c r="V29" s="9" t="n">
        <f aca="false">Settings!$B$25+Settings!$B$26*Settings!$B$23</f>
        <v>26</v>
      </c>
      <c r="W29" s="2" t="str">
        <f aca="false">IF(COUNTIF(Ingredients!$A$5:$A$42,E29)*COUNTIF(Ingredients!$A$5:$A$42,F29)*COUNTIF(Ingredients!$A$5:$A$42,G29)&gt;0,"OK","Missing ingredient")</f>
        <v>OK</v>
      </c>
      <c r="X29" s="3"/>
      <c r="Y29" s="10" t="s">
        <v>434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" hidden="false" customHeight="false" outlineLevel="0" collapsed="false">
      <c r="A31" s="12" t="s">
        <v>483</v>
      </c>
      <c r="B31" s="2"/>
      <c r="C31" s="2"/>
      <c r="D31" s="2"/>
      <c r="E31" s="2"/>
      <c r="F31" s="2"/>
      <c r="G31" s="2"/>
      <c r="H31" s="9" t="n">
        <f aca="false">Settings!$B$24*(Settings!$B$23-1)</f>
        <v>9</v>
      </c>
      <c r="I31" s="3" t="s">
        <v>484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" hidden="false" customHeight="false" outlineLevel="0" collapsed="false">
      <c r="A32" s="12" t="s">
        <v>485</v>
      </c>
      <c r="B32" s="2"/>
      <c r="C32" s="2"/>
      <c r="D32" s="2"/>
      <c r="E32" s="2"/>
      <c r="F32" s="2"/>
      <c r="G32" s="2"/>
      <c r="H32" s="22" t="n">
        <f aca="false">AVERAGEIF(J5:J29,1,H5:H29)</f>
        <v>13.2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" hidden="false" customHeight="false" outlineLevel="0" collapsed="false">
      <c r="A33" s="3" t="s">
        <v>486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</sheetData>
  <dataValidations count="4">
    <dataValidation allowBlank="false" errorStyle="stop" operator="between" showDropDown="false" showErrorMessage="false" showInputMessage="false" sqref="E5:G49" type="list">
      <formula1>Ingredients!$A$5:$A$42</formula1>
      <formula2>0</formula2>
    </dataValidation>
    <dataValidation allowBlank="false" errorStyle="stop" operator="between" showDropDown="false" showErrorMessage="false" showInputMessage="false" sqref="C5:C49" type="list">
      <formula1>"Malaysia,Japan,Korea,Italy,USA,Thailand,India,Vietnam,Mexico"</formula1>
      <formula2>0</formula2>
    </dataValidation>
    <dataValidation allowBlank="false" errorStyle="stop" operator="between" showDropDown="false" showErrorMessage="false" showInputMessage="false" sqref="D5:D49" type="list">
      <formula1>"Starter,Main,Dessert,Drink"</formula1>
      <formula2>0</formula2>
    </dataValidation>
    <dataValidation allowBlank="false" errorStyle="stop" operator="between" showDropDown="false" showErrorMessage="false" showInputMessage="false" sqref="Y5:Y4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7" min="3" style="0" width="11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487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488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1.5" hidden="false" customHeight="true" outlineLevel="0" collapsed="false">
      <c r="A4" s="8" t="s">
        <v>309</v>
      </c>
      <c r="B4" s="8" t="s">
        <v>489</v>
      </c>
      <c r="C4" s="8" t="s">
        <v>398</v>
      </c>
      <c r="D4" s="8" t="s">
        <v>490</v>
      </c>
      <c r="E4" s="8" t="s">
        <v>491</v>
      </c>
      <c r="F4" s="8" t="s">
        <v>404</v>
      </c>
      <c r="G4" s="8" t="s">
        <v>492</v>
      </c>
      <c r="H4" s="8" t="s">
        <v>493</v>
      </c>
      <c r="I4" s="8" t="s">
        <v>92</v>
      </c>
      <c r="J4" s="8" t="s">
        <v>53</v>
      </c>
      <c r="K4" s="8" t="s">
        <v>494</v>
      </c>
      <c r="L4" s="8" t="s">
        <v>316</v>
      </c>
    </row>
    <row r="5" customFormat="false" ht="15" hidden="false" customHeight="false" outlineLevel="0" collapsed="false">
      <c r="A5" s="10" t="s">
        <v>495</v>
      </c>
      <c r="B5" s="10" t="s">
        <v>496</v>
      </c>
      <c r="C5" s="10" t="s">
        <v>497</v>
      </c>
      <c r="D5" s="10" t="n">
        <v>80</v>
      </c>
      <c r="E5" s="10" t="n">
        <v>0</v>
      </c>
      <c r="F5" s="10" t="n">
        <v>1</v>
      </c>
      <c r="G5" s="9" t="n">
        <f aca="false">ROUND(D5*Settings!$B$100,0)</f>
        <v>27</v>
      </c>
      <c r="H5" s="2" t="str">
        <f aca="false">IF(E5&gt;0,D5/E5,"-")</f>
        <v>-</v>
      </c>
      <c r="I5" s="12" t="s">
        <v>97</v>
      </c>
      <c r="J5" s="3" t="s">
        <v>498</v>
      </c>
      <c r="K5" s="10"/>
      <c r="L5" s="10" t="s">
        <v>423</v>
      </c>
    </row>
    <row r="6" customFormat="false" ht="15" hidden="false" customHeight="false" outlineLevel="0" collapsed="false">
      <c r="A6" s="18" t="s">
        <v>499</v>
      </c>
      <c r="B6" s="18" t="s">
        <v>500</v>
      </c>
      <c r="C6" s="18" t="s">
        <v>497</v>
      </c>
      <c r="D6" s="18" t="n">
        <v>120</v>
      </c>
      <c r="E6" s="18" t="n">
        <v>1</v>
      </c>
      <c r="F6" s="18" t="n">
        <v>3</v>
      </c>
      <c r="G6" s="23" t="n">
        <f aca="false">ROUND(D6*Settings!$B$100,0)</f>
        <v>40</v>
      </c>
      <c r="H6" s="24" t="n">
        <f aca="false">IF(E6&gt;0,D6/E6,"-")</f>
        <v>120</v>
      </c>
      <c r="I6" s="15" t="s">
        <v>151</v>
      </c>
      <c r="J6" s="25" t="s">
        <v>501</v>
      </c>
      <c r="K6" s="18"/>
      <c r="L6" s="18" t="s">
        <v>423</v>
      </c>
    </row>
    <row r="7" customFormat="false" ht="15" hidden="false" customHeight="false" outlineLevel="0" collapsed="false">
      <c r="A7" s="10" t="s">
        <v>502</v>
      </c>
      <c r="B7" s="10" t="s">
        <v>503</v>
      </c>
      <c r="C7" s="10" t="s">
        <v>497</v>
      </c>
      <c r="D7" s="10" t="n">
        <v>200</v>
      </c>
      <c r="E7" s="10" t="n">
        <v>0</v>
      </c>
      <c r="F7" s="10" t="n">
        <v>1</v>
      </c>
      <c r="G7" s="9" t="n">
        <f aca="false">ROUND(D7*Settings!$B$100,0)</f>
        <v>67</v>
      </c>
      <c r="H7" s="2" t="str">
        <f aca="false">IF(E7&gt;0,D7/E7,"-")</f>
        <v>-</v>
      </c>
      <c r="I7" s="12" t="s">
        <v>97</v>
      </c>
      <c r="J7" s="3" t="s">
        <v>504</v>
      </c>
      <c r="K7" s="10"/>
      <c r="L7" s="10" t="s">
        <v>423</v>
      </c>
    </row>
    <row r="8" customFormat="false" ht="15" hidden="false" customHeight="false" outlineLevel="0" collapsed="false">
      <c r="A8" s="18" t="s">
        <v>505</v>
      </c>
      <c r="B8" s="18" t="s">
        <v>506</v>
      </c>
      <c r="C8" s="18" t="s">
        <v>497</v>
      </c>
      <c r="D8" s="18" t="n">
        <v>150</v>
      </c>
      <c r="E8" s="18" t="n">
        <v>0</v>
      </c>
      <c r="F8" s="18" t="n">
        <v>2</v>
      </c>
      <c r="G8" s="23" t="n">
        <f aca="false">ROUND(D8*Settings!$B$100,0)</f>
        <v>50</v>
      </c>
      <c r="H8" s="24" t="str">
        <f aca="false">IF(E8&gt;0,D8/E8,"-")</f>
        <v>-</v>
      </c>
      <c r="I8" s="15" t="s">
        <v>151</v>
      </c>
      <c r="J8" s="25" t="s">
        <v>507</v>
      </c>
      <c r="K8" s="18"/>
      <c r="L8" s="18" t="s">
        <v>423</v>
      </c>
    </row>
    <row r="9" customFormat="false" ht="15" hidden="false" customHeight="false" outlineLevel="0" collapsed="false">
      <c r="A9" s="18" t="s">
        <v>508</v>
      </c>
      <c r="B9" s="18" t="s">
        <v>509</v>
      </c>
      <c r="C9" s="18" t="s">
        <v>497</v>
      </c>
      <c r="D9" s="18" t="n">
        <v>280</v>
      </c>
      <c r="E9" s="18" t="n">
        <v>0</v>
      </c>
      <c r="F9" s="18" t="n">
        <v>5</v>
      </c>
      <c r="G9" s="23" t="n">
        <f aca="false">ROUND(D9*Settings!$B$100,0)</f>
        <v>93</v>
      </c>
      <c r="H9" s="24" t="str">
        <f aca="false">IF(E9&gt;0,D9/E9,"-")</f>
        <v>-</v>
      </c>
      <c r="I9" s="15" t="s">
        <v>151</v>
      </c>
      <c r="J9" s="25" t="s">
        <v>510</v>
      </c>
      <c r="K9" s="18"/>
      <c r="L9" s="18" t="s">
        <v>423</v>
      </c>
    </row>
    <row r="10" customFormat="false" ht="15" hidden="false" customHeight="false" outlineLevel="0" collapsed="false">
      <c r="A10" s="18" t="s">
        <v>511</v>
      </c>
      <c r="B10" s="18" t="s">
        <v>512</v>
      </c>
      <c r="C10" s="18" t="s">
        <v>497</v>
      </c>
      <c r="D10" s="18" t="n">
        <v>180</v>
      </c>
      <c r="E10" s="18" t="n">
        <v>1</v>
      </c>
      <c r="F10" s="18" t="n">
        <v>7</v>
      </c>
      <c r="G10" s="23" t="n">
        <f aca="false">ROUND(D10*Settings!$B$100,0)</f>
        <v>60</v>
      </c>
      <c r="H10" s="24" t="n">
        <f aca="false">IF(E10&gt;0,D10/E10,"-")</f>
        <v>180</v>
      </c>
      <c r="I10" s="15" t="s">
        <v>151</v>
      </c>
      <c r="J10" s="25" t="s">
        <v>498</v>
      </c>
      <c r="K10" s="18"/>
      <c r="L10" s="18" t="s">
        <v>423</v>
      </c>
    </row>
    <row r="11" customFormat="false" ht="15" hidden="false" customHeight="false" outlineLevel="0" collapsed="false">
      <c r="A11" s="26" t="s">
        <v>513</v>
      </c>
      <c r="B11" s="26" t="s">
        <v>514</v>
      </c>
      <c r="C11" s="26" t="s">
        <v>497</v>
      </c>
      <c r="D11" s="26" t="n">
        <v>150</v>
      </c>
      <c r="E11" s="26" t="n">
        <v>0</v>
      </c>
      <c r="F11" s="26" t="n">
        <v>8</v>
      </c>
      <c r="G11" s="27" t="n">
        <f aca="false">ROUND(D11*Settings!$B$100,0)</f>
        <v>50</v>
      </c>
      <c r="H11" s="28" t="str">
        <f aca="false">IF(E11&gt;0,D11/E11,"-")</f>
        <v>-</v>
      </c>
      <c r="I11" s="29" t="s">
        <v>115</v>
      </c>
      <c r="J11" s="30" t="s">
        <v>515</v>
      </c>
      <c r="K11" s="26"/>
      <c r="L11" s="26" t="s">
        <v>434</v>
      </c>
    </row>
    <row r="12" customFormat="false" ht="15" hidden="false" customHeight="false" outlineLevel="0" collapsed="false">
      <c r="A12" s="26" t="s">
        <v>516</v>
      </c>
      <c r="B12" s="26" t="s">
        <v>517</v>
      </c>
      <c r="C12" s="26" t="s">
        <v>497</v>
      </c>
      <c r="D12" s="26" t="n">
        <v>350</v>
      </c>
      <c r="E12" s="26" t="n">
        <v>0</v>
      </c>
      <c r="F12" s="26" t="n">
        <v>15</v>
      </c>
      <c r="G12" s="27" t="n">
        <f aca="false">ROUND(D12*Settings!$B$100,0)</f>
        <v>117</v>
      </c>
      <c r="H12" s="28" t="str">
        <f aca="false">IF(E12&gt;0,D12/E12,"-")</f>
        <v>-</v>
      </c>
      <c r="I12" s="29" t="s">
        <v>115</v>
      </c>
      <c r="J12" s="30" t="s">
        <v>518</v>
      </c>
      <c r="K12" s="26"/>
      <c r="L12" s="26" t="s">
        <v>434</v>
      </c>
    </row>
    <row r="13" customFormat="false" ht="15" hidden="false" customHeight="false" outlineLevel="0" collapsed="false">
      <c r="A13" s="26" t="s">
        <v>519</v>
      </c>
      <c r="B13" s="26" t="s">
        <v>520</v>
      </c>
      <c r="C13" s="26" t="s">
        <v>521</v>
      </c>
      <c r="D13" s="26" t="n">
        <v>250</v>
      </c>
      <c r="E13" s="26" t="n">
        <v>2</v>
      </c>
      <c r="F13" s="26" t="n">
        <v>4</v>
      </c>
      <c r="G13" s="27" t="n">
        <f aca="false">ROUND(D13*Settings!$B$100,0)</f>
        <v>83</v>
      </c>
      <c r="H13" s="28" t="n">
        <f aca="false">IF(E13&gt;0,D13/E13,"-")</f>
        <v>125</v>
      </c>
      <c r="I13" s="29" t="s">
        <v>115</v>
      </c>
      <c r="J13" s="30" t="s">
        <v>522</v>
      </c>
      <c r="K13" s="26"/>
      <c r="L13" s="26" t="s">
        <v>434</v>
      </c>
    </row>
    <row r="14" customFormat="false" ht="15" hidden="false" customHeight="false" outlineLevel="0" collapsed="false">
      <c r="A14" s="26" t="s">
        <v>523</v>
      </c>
      <c r="B14" s="26" t="s">
        <v>524</v>
      </c>
      <c r="C14" s="26" t="s">
        <v>521</v>
      </c>
      <c r="D14" s="26" t="n">
        <v>300</v>
      </c>
      <c r="E14" s="26" t="n">
        <v>2</v>
      </c>
      <c r="F14" s="26" t="n">
        <v>7</v>
      </c>
      <c r="G14" s="27" t="n">
        <f aca="false">ROUND(D14*Settings!$B$100,0)</f>
        <v>100</v>
      </c>
      <c r="H14" s="28" t="n">
        <f aca="false">IF(E14&gt;0,D14/E14,"-")</f>
        <v>150</v>
      </c>
      <c r="I14" s="29" t="s">
        <v>115</v>
      </c>
      <c r="J14" s="30" t="s">
        <v>525</v>
      </c>
      <c r="K14" s="26"/>
      <c r="L14" s="26" t="s">
        <v>434</v>
      </c>
    </row>
    <row r="15" customFormat="false" ht="15" hidden="false" customHeight="false" outlineLevel="0" collapsed="false">
      <c r="A15" s="10" t="s">
        <v>526</v>
      </c>
      <c r="B15" s="10" t="s">
        <v>527</v>
      </c>
      <c r="C15" s="10" t="s">
        <v>528</v>
      </c>
      <c r="D15" s="10" t="n">
        <v>40</v>
      </c>
      <c r="E15" s="10" t="n">
        <v>1</v>
      </c>
      <c r="F15" s="10" t="n">
        <v>1</v>
      </c>
      <c r="G15" s="9" t="n">
        <f aca="false">ROUND(D15*Settings!$B$100,0)</f>
        <v>13</v>
      </c>
      <c r="H15" s="2" t="n">
        <f aca="false">IF(E15&gt;0,D15/E15,"-")</f>
        <v>40</v>
      </c>
      <c r="I15" s="12" t="s">
        <v>97</v>
      </c>
      <c r="J15" s="3"/>
      <c r="K15" s="10"/>
      <c r="L15" s="10" t="s">
        <v>423</v>
      </c>
    </row>
    <row r="16" customFormat="false" ht="15" hidden="false" customHeight="false" outlineLevel="0" collapsed="false">
      <c r="A16" s="18" t="s">
        <v>529</v>
      </c>
      <c r="B16" s="18" t="s">
        <v>530</v>
      </c>
      <c r="C16" s="18" t="s">
        <v>528</v>
      </c>
      <c r="D16" s="18" t="n">
        <v>50</v>
      </c>
      <c r="E16" s="18" t="n">
        <v>1</v>
      </c>
      <c r="F16" s="18" t="n">
        <v>1</v>
      </c>
      <c r="G16" s="23" t="n">
        <f aca="false">ROUND(D16*Settings!$B$100,0)</f>
        <v>17</v>
      </c>
      <c r="H16" s="24" t="n">
        <f aca="false">IF(E16&gt;0,D16/E16,"-")</f>
        <v>50</v>
      </c>
      <c r="I16" s="15" t="s">
        <v>151</v>
      </c>
      <c r="J16" s="25"/>
      <c r="K16" s="18"/>
      <c r="L16" s="18" t="s">
        <v>423</v>
      </c>
    </row>
    <row r="17" customFormat="false" ht="15" hidden="false" customHeight="false" outlineLevel="0" collapsed="false">
      <c r="A17" s="10" t="s">
        <v>531</v>
      </c>
      <c r="B17" s="10" t="s">
        <v>532</v>
      </c>
      <c r="C17" s="10" t="s">
        <v>528</v>
      </c>
      <c r="D17" s="10" t="n">
        <v>90</v>
      </c>
      <c r="E17" s="10" t="n">
        <v>2</v>
      </c>
      <c r="F17" s="10" t="n">
        <v>2</v>
      </c>
      <c r="G17" s="9" t="n">
        <f aca="false">ROUND(D17*Settings!$B$100,0)</f>
        <v>30</v>
      </c>
      <c r="H17" s="2" t="n">
        <f aca="false">IF(E17&gt;0,D17/E17,"-")</f>
        <v>45</v>
      </c>
      <c r="I17" s="12" t="s">
        <v>97</v>
      </c>
      <c r="J17" s="3"/>
      <c r="K17" s="10"/>
      <c r="L17" s="10" t="s">
        <v>423</v>
      </c>
    </row>
    <row r="18" customFormat="false" ht="15" hidden="false" customHeight="false" outlineLevel="0" collapsed="false">
      <c r="A18" s="18" t="s">
        <v>533</v>
      </c>
      <c r="B18" s="18" t="s">
        <v>534</v>
      </c>
      <c r="C18" s="18" t="s">
        <v>528</v>
      </c>
      <c r="D18" s="18" t="n">
        <v>70</v>
      </c>
      <c r="E18" s="18" t="n">
        <v>1</v>
      </c>
      <c r="F18" s="18" t="n">
        <v>2</v>
      </c>
      <c r="G18" s="23" t="n">
        <f aca="false">ROUND(D18*Settings!$B$100,0)</f>
        <v>23</v>
      </c>
      <c r="H18" s="24" t="n">
        <f aca="false">IF(E18&gt;0,D18/E18,"-")</f>
        <v>70</v>
      </c>
      <c r="I18" s="15" t="s">
        <v>151</v>
      </c>
      <c r="J18" s="25"/>
      <c r="K18" s="18"/>
      <c r="L18" s="18" t="s">
        <v>423</v>
      </c>
    </row>
    <row r="19" customFormat="false" ht="15" hidden="false" customHeight="false" outlineLevel="0" collapsed="false">
      <c r="A19" s="18" t="s">
        <v>535</v>
      </c>
      <c r="B19" s="18" t="s">
        <v>536</v>
      </c>
      <c r="C19" s="18" t="s">
        <v>528</v>
      </c>
      <c r="D19" s="18" t="n">
        <v>60</v>
      </c>
      <c r="E19" s="18" t="n">
        <v>1</v>
      </c>
      <c r="F19" s="18" t="n">
        <v>3</v>
      </c>
      <c r="G19" s="23" t="n">
        <f aca="false">ROUND(D19*Settings!$B$100,0)</f>
        <v>20</v>
      </c>
      <c r="H19" s="24" t="n">
        <f aca="false">IF(E19&gt;0,D19/E19,"-")</f>
        <v>60</v>
      </c>
      <c r="I19" s="15" t="s">
        <v>151</v>
      </c>
      <c r="J19" s="25"/>
      <c r="K19" s="18"/>
      <c r="L19" s="18" t="s">
        <v>423</v>
      </c>
    </row>
    <row r="20" customFormat="false" ht="15" hidden="false" customHeight="false" outlineLevel="0" collapsed="false">
      <c r="A20" s="18" t="s">
        <v>537</v>
      </c>
      <c r="B20" s="18" t="s">
        <v>538</v>
      </c>
      <c r="C20" s="18" t="s">
        <v>528</v>
      </c>
      <c r="D20" s="18" t="n">
        <v>120</v>
      </c>
      <c r="E20" s="18" t="n">
        <v>2</v>
      </c>
      <c r="F20" s="18" t="n">
        <v>4</v>
      </c>
      <c r="G20" s="23" t="n">
        <f aca="false">ROUND(D20*Settings!$B$100,0)</f>
        <v>40</v>
      </c>
      <c r="H20" s="24" t="n">
        <f aca="false">IF(E20&gt;0,D20/E20,"-")</f>
        <v>60</v>
      </c>
      <c r="I20" s="15" t="s">
        <v>151</v>
      </c>
      <c r="J20" s="25"/>
      <c r="K20" s="18"/>
      <c r="L20" s="18" t="s">
        <v>423</v>
      </c>
    </row>
    <row r="21" customFormat="false" ht="15" hidden="false" customHeight="false" outlineLevel="0" collapsed="false">
      <c r="A21" s="10" t="s">
        <v>539</v>
      </c>
      <c r="B21" s="10" t="s">
        <v>540</v>
      </c>
      <c r="C21" s="10" t="s">
        <v>528</v>
      </c>
      <c r="D21" s="10" t="n">
        <v>300</v>
      </c>
      <c r="E21" s="10" t="n">
        <v>5</v>
      </c>
      <c r="F21" s="10" t="n">
        <v>4</v>
      </c>
      <c r="G21" s="9" t="n">
        <f aca="false">ROUND(D21*Settings!$B$100,0)</f>
        <v>100</v>
      </c>
      <c r="H21" s="2" t="n">
        <f aca="false">IF(E21&gt;0,D21/E21,"-")</f>
        <v>60</v>
      </c>
      <c r="I21" s="12" t="s">
        <v>97</v>
      </c>
      <c r="J21" s="3"/>
      <c r="K21" s="10"/>
      <c r="L21" s="10" t="s">
        <v>423</v>
      </c>
    </row>
    <row r="22" customFormat="false" ht="15" hidden="false" customHeight="false" outlineLevel="0" collapsed="false">
      <c r="A22" s="18" t="s">
        <v>541</v>
      </c>
      <c r="B22" s="18" t="s">
        <v>542</v>
      </c>
      <c r="C22" s="18" t="s">
        <v>528</v>
      </c>
      <c r="D22" s="18" t="n">
        <v>100</v>
      </c>
      <c r="E22" s="18" t="n">
        <v>2</v>
      </c>
      <c r="F22" s="18" t="n">
        <v>5</v>
      </c>
      <c r="G22" s="23" t="n">
        <f aca="false">ROUND(D22*Settings!$B$100,0)</f>
        <v>33</v>
      </c>
      <c r="H22" s="24" t="n">
        <f aca="false">IF(E22&gt;0,D22/E22,"-")</f>
        <v>50</v>
      </c>
      <c r="I22" s="15" t="s">
        <v>151</v>
      </c>
      <c r="J22" s="25"/>
      <c r="K22" s="18"/>
      <c r="L22" s="18" t="s">
        <v>423</v>
      </c>
    </row>
    <row r="23" customFormat="false" ht="15" hidden="false" customHeight="false" outlineLevel="0" collapsed="false">
      <c r="A23" s="18" t="s">
        <v>543</v>
      </c>
      <c r="B23" s="18" t="s">
        <v>544</v>
      </c>
      <c r="C23" s="18" t="s">
        <v>528</v>
      </c>
      <c r="D23" s="18" t="n">
        <v>160</v>
      </c>
      <c r="E23" s="18" t="n">
        <v>3</v>
      </c>
      <c r="F23" s="18" t="n">
        <v>6</v>
      </c>
      <c r="G23" s="23" t="n">
        <f aca="false">ROUND(D23*Settings!$B$100,0)</f>
        <v>53</v>
      </c>
      <c r="H23" s="24" t="n">
        <f aca="false">IF(E23&gt;0,D23/E23,"-")</f>
        <v>53.3333333333333</v>
      </c>
      <c r="I23" s="15" t="s">
        <v>151</v>
      </c>
      <c r="J23" s="25"/>
      <c r="K23" s="18"/>
      <c r="L23" s="18" t="s">
        <v>423</v>
      </c>
    </row>
    <row r="24" customFormat="false" ht="15" hidden="false" customHeight="false" outlineLevel="0" collapsed="false">
      <c r="A24" s="18" t="s">
        <v>545</v>
      </c>
      <c r="B24" s="18" t="s">
        <v>546</v>
      </c>
      <c r="C24" s="18" t="s">
        <v>528</v>
      </c>
      <c r="D24" s="18" t="n">
        <v>450</v>
      </c>
      <c r="E24" s="18" t="n">
        <v>7</v>
      </c>
      <c r="F24" s="18" t="n">
        <v>8</v>
      </c>
      <c r="G24" s="23" t="n">
        <f aca="false">ROUND(D24*Settings!$B$100,0)</f>
        <v>150</v>
      </c>
      <c r="H24" s="24" t="n">
        <f aca="false">IF(E24&gt;0,D24/E24,"-")</f>
        <v>64.2857142857143</v>
      </c>
      <c r="I24" s="15" t="s">
        <v>151</v>
      </c>
      <c r="J24" s="25"/>
      <c r="K24" s="18"/>
      <c r="L24" s="18" t="s">
        <v>423</v>
      </c>
    </row>
    <row r="25" customFormat="false" ht="15" hidden="false" customHeight="false" outlineLevel="0" collapsed="false">
      <c r="A25" s="18" t="s">
        <v>547</v>
      </c>
      <c r="B25" s="18" t="s">
        <v>548</v>
      </c>
      <c r="C25" s="18" t="s">
        <v>528</v>
      </c>
      <c r="D25" s="18" t="n">
        <v>70</v>
      </c>
      <c r="E25" s="18" t="n">
        <v>1</v>
      </c>
      <c r="F25" s="18" t="n">
        <v>2</v>
      </c>
      <c r="G25" s="23" t="n">
        <f aca="false">ROUND(D25*Settings!$B$100,0)</f>
        <v>23</v>
      </c>
      <c r="H25" s="24" t="n">
        <f aca="false">IF(E25&gt;0,D25/E25,"-")</f>
        <v>70</v>
      </c>
      <c r="I25" s="15" t="s">
        <v>151</v>
      </c>
      <c r="J25" s="25"/>
      <c r="K25" s="18" t="s">
        <v>420</v>
      </c>
      <c r="L25" s="18" t="s">
        <v>423</v>
      </c>
    </row>
    <row r="26" customFormat="false" ht="15" hidden="false" customHeight="false" outlineLevel="0" collapsed="false">
      <c r="A26" s="18" t="s">
        <v>549</v>
      </c>
      <c r="B26" s="18" t="s">
        <v>550</v>
      </c>
      <c r="C26" s="18" t="s">
        <v>528</v>
      </c>
      <c r="D26" s="18" t="n">
        <v>80</v>
      </c>
      <c r="E26" s="18" t="n">
        <v>2</v>
      </c>
      <c r="F26" s="18" t="n">
        <v>2</v>
      </c>
      <c r="G26" s="23" t="n">
        <f aca="false">ROUND(D26*Settings!$B$100,0)</f>
        <v>27</v>
      </c>
      <c r="H26" s="24" t="n">
        <f aca="false">IF(E26&gt;0,D26/E26,"-")</f>
        <v>40</v>
      </c>
      <c r="I26" s="15" t="s">
        <v>151</v>
      </c>
      <c r="J26" s="25"/>
      <c r="K26" s="18" t="s">
        <v>420</v>
      </c>
      <c r="L26" s="18" t="s">
        <v>423</v>
      </c>
    </row>
    <row r="27" customFormat="false" ht="15" hidden="false" customHeight="false" outlineLevel="0" collapsed="false">
      <c r="A27" s="18" t="s">
        <v>551</v>
      </c>
      <c r="B27" s="18" t="s">
        <v>552</v>
      </c>
      <c r="C27" s="18" t="s">
        <v>528</v>
      </c>
      <c r="D27" s="18" t="n">
        <v>110</v>
      </c>
      <c r="E27" s="18" t="n">
        <v>2</v>
      </c>
      <c r="F27" s="18" t="n">
        <v>3</v>
      </c>
      <c r="G27" s="23" t="n">
        <f aca="false">ROUND(D27*Settings!$B$100,0)</f>
        <v>37</v>
      </c>
      <c r="H27" s="24" t="n">
        <f aca="false">IF(E27&gt;0,D27/E27,"-")</f>
        <v>55</v>
      </c>
      <c r="I27" s="15" t="s">
        <v>151</v>
      </c>
      <c r="J27" s="25"/>
      <c r="K27" s="18" t="s">
        <v>420</v>
      </c>
      <c r="L27" s="18" t="s">
        <v>423</v>
      </c>
    </row>
    <row r="28" customFormat="false" ht="15" hidden="false" customHeight="false" outlineLevel="0" collapsed="false">
      <c r="A28" s="18" t="s">
        <v>553</v>
      </c>
      <c r="B28" s="18" t="s">
        <v>554</v>
      </c>
      <c r="C28" s="18" t="s">
        <v>528</v>
      </c>
      <c r="D28" s="18" t="n">
        <v>90</v>
      </c>
      <c r="E28" s="18" t="n">
        <v>2</v>
      </c>
      <c r="F28" s="18" t="n">
        <v>3</v>
      </c>
      <c r="G28" s="23" t="n">
        <f aca="false">ROUND(D28*Settings!$B$100,0)</f>
        <v>30</v>
      </c>
      <c r="H28" s="24" t="n">
        <f aca="false">IF(E28&gt;0,D28/E28,"-")</f>
        <v>45</v>
      </c>
      <c r="I28" s="15" t="s">
        <v>151</v>
      </c>
      <c r="J28" s="25"/>
      <c r="K28" s="18" t="s">
        <v>420</v>
      </c>
      <c r="L28" s="18" t="s">
        <v>423</v>
      </c>
    </row>
    <row r="29" customFormat="false" ht="15" hidden="false" customHeight="false" outlineLevel="0" collapsed="false">
      <c r="A29" s="18" t="s">
        <v>555</v>
      </c>
      <c r="B29" s="18" t="s">
        <v>556</v>
      </c>
      <c r="C29" s="18" t="s">
        <v>528</v>
      </c>
      <c r="D29" s="18" t="n">
        <v>130</v>
      </c>
      <c r="E29" s="18" t="n">
        <v>2</v>
      </c>
      <c r="F29" s="18" t="n">
        <v>4</v>
      </c>
      <c r="G29" s="23" t="n">
        <f aca="false">ROUND(D29*Settings!$B$100,0)</f>
        <v>43</v>
      </c>
      <c r="H29" s="24" t="n">
        <f aca="false">IF(E29&gt;0,D29/E29,"-")</f>
        <v>65</v>
      </c>
      <c r="I29" s="15" t="s">
        <v>151</v>
      </c>
      <c r="J29" s="25"/>
      <c r="K29" s="18" t="s">
        <v>420</v>
      </c>
      <c r="L29" s="18" t="s">
        <v>423</v>
      </c>
    </row>
    <row r="30" customFormat="false" ht="15" hidden="false" customHeight="false" outlineLevel="0" collapsed="false">
      <c r="A30" s="18" t="s">
        <v>557</v>
      </c>
      <c r="B30" s="18" t="s">
        <v>558</v>
      </c>
      <c r="C30" s="18" t="s">
        <v>528</v>
      </c>
      <c r="D30" s="18" t="n">
        <v>120</v>
      </c>
      <c r="E30" s="18" t="n">
        <v>2</v>
      </c>
      <c r="F30" s="18" t="n">
        <v>4</v>
      </c>
      <c r="G30" s="23" t="n">
        <f aca="false">ROUND(D30*Settings!$B$100,0)</f>
        <v>40</v>
      </c>
      <c r="H30" s="24" t="n">
        <f aca="false">IF(E30&gt;0,D30/E30,"-")</f>
        <v>60</v>
      </c>
      <c r="I30" s="15" t="s">
        <v>151</v>
      </c>
      <c r="J30" s="25"/>
      <c r="K30" s="18" t="s">
        <v>420</v>
      </c>
      <c r="L30" s="18" t="s">
        <v>423</v>
      </c>
    </row>
    <row r="31" customFormat="false" ht="15" hidden="false" customHeight="false" outlineLevel="0" collapsed="false">
      <c r="A31" s="18" t="s">
        <v>559</v>
      </c>
      <c r="B31" s="18" t="s">
        <v>560</v>
      </c>
      <c r="C31" s="18" t="s">
        <v>528</v>
      </c>
      <c r="D31" s="18" t="n">
        <v>150</v>
      </c>
      <c r="E31" s="18" t="n">
        <v>3</v>
      </c>
      <c r="F31" s="18" t="n">
        <v>5</v>
      </c>
      <c r="G31" s="23" t="n">
        <f aca="false">ROUND(D31*Settings!$B$100,0)</f>
        <v>50</v>
      </c>
      <c r="H31" s="24" t="n">
        <f aca="false">IF(E31&gt;0,D31/E31,"-")</f>
        <v>50</v>
      </c>
      <c r="I31" s="15" t="s">
        <v>151</v>
      </c>
      <c r="J31" s="25"/>
      <c r="K31" s="18" t="s">
        <v>420</v>
      </c>
      <c r="L31" s="18" t="s">
        <v>423</v>
      </c>
    </row>
    <row r="32" customFormat="false" ht="15" hidden="false" customHeight="false" outlineLevel="0" collapsed="false">
      <c r="A32" s="18" t="s">
        <v>561</v>
      </c>
      <c r="B32" s="18" t="s">
        <v>562</v>
      </c>
      <c r="C32" s="18" t="s">
        <v>528</v>
      </c>
      <c r="D32" s="18" t="n">
        <v>100</v>
      </c>
      <c r="E32" s="18" t="n">
        <v>2</v>
      </c>
      <c r="F32" s="18" t="n">
        <v>5</v>
      </c>
      <c r="G32" s="23" t="n">
        <f aca="false">ROUND(D32*Settings!$B$100,0)</f>
        <v>33</v>
      </c>
      <c r="H32" s="24" t="n">
        <f aca="false">IF(E32&gt;0,D32/E32,"-")</f>
        <v>50</v>
      </c>
      <c r="I32" s="15" t="s">
        <v>151</v>
      </c>
      <c r="J32" s="25"/>
      <c r="K32" s="18" t="s">
        <v>420</v>
      </c>
      <c r="L32" s="18" t="s">
        <v>423</v>
      </c>
    </row>
    <row r="33" customFormat="false" ht="15" hidden="false" customHeight="false" outlineLevel="0" collapsed="false">
      <c r="A33" s="18" t="s">
        <v>563</v>
      </c>
      <c r="B33" s="18" t="s">
        <v>564</v>
      </c>
      <c r="C33" s="18" t="s">
        <v>528</v>
      </c>
      <c r="D33" s="18" t="n">
        <v>200</v>
      </c>
      <c r="E33" s="18" t="n">
        <v>3</v>
      </c>
      <c r="F33" s="18" t="n">
        <v>6</v>
      </c>
      <c r="G33" s="23" t="n">
        <f aca="false">ROUND(D33*Settings!$B$100,0)</f>
        <v>67</v>
      </c>
      <c r="H33" s="24" t="n">
        <f aca="false">IF(E33&gt;0,D33/E33,"-")</f>
        <v>66.6666666666667</v>
      </c>
      <c r="I33" s="15" t="s">
        <v>151</v>
      </c>
      <c r="J33" s="25"/>
      <c r="K33" s="18" t="s">
        <v>420</v>
      </c>
      <c r="L33" s="18" t="s">
        <v>423</v>
      </c>
    </row>
    <row r="34" customFormat="false" ht="15" hidden="false" customHeight="false" outlineLevel="0" collapsed="false">
      <c r="A34" s="18" t="s">
        <v>565</v>
      </c>
      <c r="B34" s="18" t="s">
        <v>566</v>
      </c>
      <c r="C34" s="18" t="s">
        <v>528</v>
      </c>
      <c r="D34" s="18" t="n">
        <v>240</v>
      </c>
      <c r="E34" s="18" t="n">
        <v>4</v>
      </c>
      <c r="F34" s="18" t="n">
        <v>7</v>
      </c>
      <c r="G34" s="23" t="n">
        <f aca="false">ROUND(D34*Settings!$B$100,0)</f>
        <v>80</v>
      </c>
      <c r="H34" s="24" t="n">
        <f aca="false">IF(E34&gt;0,D34/E34,"-")</f>
        <v>60</v>
      </c>
      <c r="I34" s="15" t="s">
        <v>151</v>
      </c>
      <c r="J34" s="25"/>
      <c r="K34" s="18" t="s">
        <v>420</v>
      </c>
      <c r="L34" s="18" t="s">
        <v>423</v>
      </c>
    </row>
    <row r="35" customFormat="false" ht="15" hidden="false" customHeight="false" outlineLevel="0" collapsed="false">
      <c r="A35" s="10" t="s">
        <v>567</v>
      </c>
      <c r="B35" s="10" t="s">
        <v>568</v>
      </c>
      <c r="C35" s="10" t="s">
        <v>569</v>
      </c>
      <c r="D35" s="10" t="n">
        <v>0</v>
      </c>
      <c r="E35" s="10" t="n">
        <v>0</v>
      </c>
      <c r="F35" s="10" t="n">
        <v>1</v>
      </c>
      <c r="G35" s="9" t="n">
        <f aca="false">ROUND(D35*Settings!$B$100,0)</f>
        <v>0</v>
      </c>
      <c r="H35" s="2" t="str">
        <f aca="false">IF(E35&gt;0,D35/E35,"-")</f>
        <v>-</v>
      </c>
      <c r="I35" s="12" t="s">
        <v>97</v>
      </c>
      <c r="J35" s="3" t="s">
        <v>570</v>
      </c>
      <c r="K35" s="10"/>
      <c r="L35" s="10" t="s">
        <v>423</v>
      </c>
    </row>
    <row r="36" customFormat="false" ht="15" hidden="false" customHeight="false" outlineLevel="0" collapsed="false">
      <c r="A36" s="10" t="s">
        <v>571</v>
      </c>
      <c r="B36" s="10" t="s">
        <v>572</v>
      </c>
      <c r="C36" s="10" t="s">
        <v>569</v>
      </c>
      <c r="D36" s="10" t="n">
        <v>120</v>
      </c>
      <c r="E36" s="10" t="n">
        <v>0</v>
      </c>
      <c r="F36" s="10" t="n">
        <v>1</v>
      </c>
      <c r="G36" s="9" t="n">
        <f aca="false">ROUND(D36*Settings!$B$100,0)</f>
        <v>40</v>
      </c>
      <c r="H36" s="2" t="str">
        <f aca="false">IF(E36&gt;0,D36/E36,"-")</f>
        <v>-</v>
      </c>
      <c r="I36" s="12" t="s">
        <v>97</v>
      </c>
      <c r="J36" s="3"/>
      <c r="K36" s="10"/>
      <c r="L36" s="10" t="s">
        <v>423</v>
      </c>
    </row>
    <row r="37" customFormat="false" ht="15" hidden="false" customHeight="false" outlineLevel="0" collapsed="false">
      <c r="A37" s="10" t="s">
        <v>573</v>
      </c>
      <c r="B37" s="10" t="s">
        <v>574</v>
      </c>
      <c r="C37" s="10" t="s">
        <v>569</v>
      </c>
      <c r="D37" s="10" t="n">
        <v>220</v>
      </c>
      <c r="E37" s="10" t="n">
        <v>0</v>
      </c>
      <c r="F37" s="10" t="n">
        <v>1</v>
      </c>
      <c r="G37" s="9" t="n">
        <f aca="false">ROUND(D37*Settings!$B$100,0)</f>
        <v>73</v>
      </c>
      <c r="H37" s="2" t="str">
        <f aca="false">IF(E37&gt;0,D37/E37,"-")</f>
        <v>-</v>
      </c>
      <c r="I37" s="12" t="s">
        <v>97</v>
      </c>
      <c r="J37" s="3"/>
      <c r="K37" s="10"/>
      <c r="L37" s="10" t="s">
        <v>423</v>
      </c>
    </row>
    <row r="38" customFormat="false" ht="15" hidden="false" customHeight="false" outlineLevel="0" collapsed="false">
      <c r="A38" s="10" t="s">
        <v>575</v>
      </c>
      <c r="B38" s="10" t="s">
        <v>576</v>
      </c>
      <c r="C38" s="10" t="s">
        <v>569</v>
      </c>
      <c r="D38" s="10" t="n">
        <v>260</v>
      </c>
      <c r="E38" s="10" t="n">
        <v>0</v>
      </c>
      <c r="F38" s="10" t="n">
        <v>1</v>
      </c>
      <c r="G38" s="9" t="n">
        <f aca="false">ROUND(D38*Settings!$B$100,0)</f>
        <v>87</v>
      </c>
      <c r="H38" s="2" t="str">
        <f aca="false">IF(E38&gt;0,D38/E38,"-")</f>
        <v>-</v>
      </c>
      <c r="I38" s="12" t="s">
        <v>97</v>
      </c>
      <c r="J38" s="3"/>
      <c r="K38" s="10"/>
      <c r="L38" s="10" t="s">
        <v>423</v>
      </c>
    </row>
    <row r="39" customFormat="false" ht="15" hidden="false" customHeight="false" outlineLevel="0" collapsed="false">
      <c r="A39" s="18" t="s">
        <v>577</v>
      </c>
      <c r="B39" s="18" t="s">
        <v>578</v>
      </c>
      <c r="C39" s="18" t="s">
        <v>579</v>
      </c>
      <c r="D39" s="18" t="n">
        <v>0</v>
      </c>
      <c r="E39" s="18" t="n">
        <v>0</v>
      </c>
      <c r="F39" s="18" t="n">
        <v>1</v>
      </c>
      <c r="G39" s="23" t="n">
        <f aca="false">ROUND(D39*Settings!$B$100,0)</f>
        <v>0</v>
      </c>
      <c r="H39" s="24" t="str">
        <f aca="false">IF(E39&gt;0,D39/E39,"-")</f>
        <v>-</v>
      </c>
      <c r="I39" s="15" t="s">
        <v>151</v>
      </c>
      <c r="J39" s="25" t="s">
        <v>580</v>
      </c>
      <c r="K39" s="18"/>
      <c r="L39" s="18" t="s">
        <v>423</v>
      </c>
    </row>
    <row r="40" customFormat="false" ht="15" hidden="false" customHeight="false" outlineLevel="0" collapsed="false">
      <c r="A40" s="18" t="s">
        <v>581</v>
      </c>
      <c r="B40" s="18" t="s">
        <v>582</v>
      </c>
      <c r="C40" s="18" t="s">
        <v>579</v>
      </c>
      <c r="D40" s="18" t="n">
        <v>100</v>
      </c>
      <c r="E40" s="18" t="n">
        <v>0</v>
      </c>
      <c r="F40" s="18" t="n">
        <v>1</v>
      </c>
      <c r="G40" s="23" t="n">
        <f aca="false">ROUND(D40*Settings!$B$100,0)</f>
        <v>33</v>
      </c>
      <c r="H40" s="24" t="str">
        <f aca="false">IF(E40&gt;0,D40/E40,"-")</f>
        <v>-</v>
      </c>
      <c r="I40" s="15" t="s">
        <v>151</v>
      </c>
      <c r="J40" s="25"/>
      <c r="K40" s="18"/>
      <c r="L40" s="18" t="s">
        <v>423</v>
      </c>
    </row>
    <row r="41" customFormat="false" ht="15" hidden="false" customHeight="false" outlineLevel="0" collapsed="false">
      <c r="A41" s="18" t="s">
        <v>583</v>
      </c>
      <c r="B41" s="18" t="s">
        <v>584</v>
      </c>
      <c r="C41" s="18" t="s">
        <v>579</v>
      </c>
      <c r="D41" s="18" t="n">
        <v>140</v>
      </c>
      <c r="E41" s="18" t="n">
        <v>0</v>
      </c>
      <c r="F41" s="18" t="n">
        <v>2</v>
      </c>
      <c r="G41" s="23" t="n">
        <f aca="false">ROUND(D41*Settings!$B$100,0)</f>
        <v>47</v>
      </c>
      <c r="H41" s="24" t="str">
        <f aca="false">IF(E41&gt;0,D41/E41,"-")</f>
        <v>-</v>
      </c>
      <c r="I41" s="15" t="s">
        <v>151</v>
      </c>
      <c r="J41" s="25"/>
      <c r="K41" s="18"/>
      <c r="L41" s="18" t="s">
        <v>423</v>
      </c>
    </row>
    <row r="42" customFormat="false" ht="15" hidden="false" customHeight="false" outlineLevel="0" collapsed="false">
      <c r="A42" s="18" t="s">
        <v>585</v>
      </c>
      <c r="B42" s="18" t="s">
        <v>586</v>
      </c>
      <c r="C42" s="18" t="s">
        <v>579</v>
      </c>
      <c r="D42" s="18" t="n">
        <v>180</v>
      </c>
      <c r="E42" s="18" t="n">
        <v>0</v>
      </c>
      <c r="F42" s="18" t="n">
        <v>3</v>
      </c>
      <c r="G42" s="23" t="n">
        <f aca="false">ROUND(D42*Settings!$B$100,0)</f>
        <v>60</v>
      </c>
      <c r="H42" s="24" t="str">
        <f aca="false">IF(E42&gt;0,D42/E42,"-")</f>
        <v>-</v>
      </c>
      <c r="I42" s="15" t="s">
        <v>151</v>
      </c>
      <c r="J42" s="25"/>
      <c r="K42" s="18"/>
      <c r="L42" s="18" t="s">
        <v>423</v>
      </c>
    </row>
  </sheetData>
  <dataValidations count="2">
    <dataValidation allowBlank="false" errorStyle="stop" operator="between" showDropDown="false" showErrorMessage="false" showInputMessage="false" sqref="C5:C102" type="list">
      <formula1>"Function,Fun,Decor,Floor,Wallpaper,Outdoor"</formula1>
      <formula2>0</formula2>
    </dataValidation>
    <dataValidation allowBlank="false" errorStyle="stop" operator="between" showDropDown="false" showErrorMessage="false" showInputMessage="false" sqref="L5:L10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3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63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587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8" t="s">
        <v>309</v>
      </c>
      <c r="B4" s="8" t="s">
        <v>588</v>
      </c>
      <c r="C4" s="8" t="s">
        <v>589</v>
      </c>
      <c r="D4" s="8" t="s">
        <v>590</v>
      </c>
      <c r="E4" s="8" t="s">
        <v>404</v>
      </c>
      <c r="F4" s="8" t="s">
        <v>490</v>
      </c>
      <c r="G4" s="8" t="s">
        <v>93</v>
      </c>
      <c r="H4" s="8" t="s">
        <v>316</v>
      </c>
    </row>
    <row r="5" customFormat="false" ht="15" hidden="false" customHeight="false" outlineLevel="0" collapsed="false">
      <c r="A5" s="10" t="s">
        <v>591</v>
      </c>
      <c r="B5" s="10" t="s">
        <v>592</v>
      </c>
      <c r="C5" s="10" t="s">
        <v>593</v>
      </c>
      <c r="D5" s="10" t="s">
        <v>594</v>
      </c>
      <c r="E5" s="10" t="n">
        <v>6</v>
      </c>
      <c r="F5" s="31" t="n">
        <v>1500</v>
      </c>
      <c r="G5" s="30" t="s">
        <v>595</v>
      </c>
      <c r="H5" s="9" t="str">
        <f aca="false">IF(E5&lt;=Settings!$B$102,"Yes","No")</f>
        <v>Yes</v>
      </c>
    </row>
    <row r="6" customFormat="false" ht="15" hidden="false" customHeight="false" outlineLevel="0" collapsed="false">
      <c r="A6" s="10" t="s">
        <v>596</v>
      </c>
      <c r="B6" s="10" t="s">
        <v>597</v>
      </c>
      <c r="C6" s="10" t="s">
        <v>593</v>
      </c>
      <c r="D6" s="10" t="s">
        <v>598</v>
      </c>
      <c r="E6" s="10" t="n">
        <v>12</v>
      </c>
      <c r="F6" s="31" t="n">
        <v>4000</v>
      </c>
      <c r="G6" s="30"/>
      <c r="H6" s="9" t="str">
        <f aca="false">IF(E6&lt;=Settings!$B$102,"Yes","No")</f>
        <v>No</v>
      </c>
    </row>
    <row r="7" customFormat="false" ht="15" hidden="false" customHeight="false" outlineLevel="0" collapsed="false">
      <c r="A7" s="10" t="s">
        <v>599</v>
      </c>
      <c r="B7" s="10" t="s">
        <v>600</v>
      </c>
      <c r="C7" s="10" t="s">
        <v>593</v>
      </c>
      <c r="D7" s="10" t="s">
        <v>601</v>
      </c>
      <c r="E7" s="10" t="n">
        <v>18</v>
      </c>
      <c r="F7" s="31" t="n">
        <v>9000</v>
      </c>
      <c r="G7" s="30"/>
      <c r="H7" s="9" t="str">
        <f aca="false">IF(E7&lt;=Settings!$B$102,"Yes","No")</f>
        <v>No</v>
      </c>
    </row>
    <row r="8" customFormat="false" ht="15" hidden="false" customHeight="false" outlineLevel="0" collapsed="false">
      <c r="A8" s="10" t="s">
        <v>602</v>
      </c>
      <c r="B8" s="10" t="s">
        <v>603</v>
      </c>
      <c r="C8" s="10" t="s">
        <v>604</v>
      </c>
      <c r="D8" s="10" t="s">
        <v>605</v>
      </c>
      <c r="E8" s="10" t="n">
        <v>20</v>
      </c>
      <c r="F8" s="31" t="n">
        <v>12000</v>
      </c>
      <c r="G8" s="30" t="s">
        <v>606</v>
      </c>
      <c r="H8" s="9" t="str">
        <f aca="false">IF(E8&lt;=Settings!$B$102,"Yes","No")</f>
        <v>No</v>
      </c>
    </row>
    <row r="9" customFormat="false" ht="15" hidden="false" customHeight="false" outlineLevel="0" collapsed="false">
      <c r="A9" s="10" t="s">
        <v>607</v>
      </c>
      <c r="B9" s="10" t="s">
        <v>608</v>
      </c>
      <c r="C9" s="10" t="s">
        <v>604</v>
      </c>
      <c r="D9" s="10" t="s">
        <v>609</v>
      </c>
      <c r="E9" s="10" t="n">
        <v>25</v>
      </c>
      <c r="F9" s="31" t="n">
        <v>25000</v>
      </c>
      <c r="G9" s="30" t="s">
        <v>610</v>
      </c>
      <c r="H9" s="9" t="str">
        <f aca="false">IF(E9&lt;=Settings!$B$102,"Yes","No")</f>
        <v>No</v>
      </c>
    </row>
    <row r="10" customFormat="false" ht="15" hidden="false" customHeight="false" outlineLevel="0" collapsed="false">
      <c r="A10" s="10" t="s">
        <v>611</v>
      </c>
      <c r="B10" s="10" t="s">
        <v>608</v>
      </c>
      <c r="C10" s="10" t="s">
        <v>604</v>
      </c>
      <c r="D10" s="10" t="s">
        <v>612</v>
      </c>
      <c r="E10" s="10" t="n">
        <v>30</v>
      </c>
      <c r="F10" s="31" t="n">
        <v>45000</v>
      </c>
      <c r="G10" s="30" t="s">
        <v>613</v>
      </c>
      <c r="H10" s="9" t="str">
        <f aca="false">IF(E10&lt;=Settings!$B$102,"Yes","No")</f>
        <v>No</v>
      </c>
    </row>
    <row r="11" customFormat="false" ht="15" hidden="false" customHeight="false" outlineLevel="0" collapsed="false">
      <c r="A11" s="10" t="s">
        <v>614</v>
      </c>
      <c r="B11" s="10" t="s">
        <v>608</v>
      </c>
      <c r="C11" s="10" t="s">
        <v>604</v>
      </c>
      <c r="D11" s="10" t="s">
        <v>615</v>
      </c>
      <c r="E11" s="10" t="n">
        <v>35</v>
      </c>
      <c r="F11" s="31" t="n">
        <v>80000</v>
      </c>
      <c r="G11" s="30" t="s">
        <v>616</v>
      </c>
      <c r="H11" s="9" t="str">
        <f aca="false">IF(E11&lt;=Settings!$B$102,"Yes","No")</f>
        <v>No</v>
      </c>
    </row>
    <row r="12" customFormat="false" ht="15" hidden="false" customHeight="false" outlineLevel="0" collapsed="false">
      <c r="A12" s="10" t="s">
        <v>617</v>
      </c>
      <c r="B12" s="10" t="s">
        <v>608</v>
      </c>
      <c r="C12" s="10" t="s">
        <v>604</v>
      </c>
      <c r="D12" s="10" t="s">
        <v>618</v>
      </c>
      <c r="E12" s="10" t="n">
        <v>40</v>
      </c>
      <c r="F12" s="31" t="n">
        <v>140000</v>
      </c>
      <c r="G12" s="30" t="s">
        <v>619</v>
      </c>
      <c r="H12" s="9" t="str">
        <f aca="false">IF(E12&lt;=Settings!$B$102,"Yes","No")</f>
        <v>No</v>
      </c>
    </row>
    <row r="13" customFormat="false" ht="15" hidden="false" customHeight="false" outlineLevel="0" collapsed="false">
      <c r="A13" s="10" t="s">
        <v>620</v>
      </c>
      <c r="B13" s="10" t="s">
        <v>608</v>
      </c>
      <c r="C13" s="10" t="s">
        <v>604</v>
      </c>
      <c r="D13" s="10" t="s">
        <v>621</v>
      </c>
      <c r="E13" s="10" t="n">
        <v>45</v>
      </c>
      <c r="F13" s="31" t="n">
        <v>240000</v>
      </c>
      <c r="G13" s="30" t="s">
        <v>622</v>
      </c>
      <c r="H13" s="9" t="str">
        <f aca="false">IF(E13&lt;=Settings!$B$102,"Yes","No")</f>
        <v>No</v>
      </c>
    </row>
    <row r="14" customFormat="false" ht="15" hidden="false" customHeight="false" outlineLevel="0" collapsed="false">
      <c r="A14" s="10" t="s">
        <v>623</v>
      </c>
      <c r="B14" s="10" t="s">
        <v>608</v>
      </c>
      <c r="C14" s="10" t="s">
        <v>604</v>
      </c>
      <c r="D14" s="10" t="s">
        <v>624</v>
      </c>
      <c r="E14" s="10" t="n">
        <v>50</v>
      </c>
      <c r="F14" s="31" t="n">
        <v>400000</v>
      </c>
      <c r="G14" s="30" t="s">
        <v>625</v>
      </c>
      <c r="H14" s="9" t="str">
        <f aca="false">IF(E14&lt;=Settings!$B$102,"Yes","No")</f>
        <v>No</v>
      </c>
    </row>
    <row r="15" customFormat="false" ht="15" hidden="false" customHeight="false" outlineLevel="0" collapsed="false">
      <c r="A15" s="10" t="s">
        <v>626</v>
      </c>
      <c r="B15" s="10" t="s">
        <v>627</v>
      </c>
      <c r="C15" s="10" t="s">
        <v>628</v>
      </c>
      <c r="D15" s="10" t="s">
        <v>629</v>
      </c>
      <c r="E15" s="10" t="n">
        <v>30</v>
      </c>
      <c r="F15" s="31" t="n">
        <v>60000</v>
      </c>
      <c r="G15" s="30" t="s">
        <v>630</v>
      </c>
      <c r="H15" s="9" t="str">
        <f aca="false">IF(E15&lt;=Settings!$B$102,"Yes","No")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6" min="5" style="0" width="11"/>
    <col collapsed="false" customWidth="true" hidden="false" outlineLevel="0" max="11" min="7" style="0" width="10"/>
    <col collapsed="false" customWidth="true" hidden="false" outlineLevel="0" max="12" min="12" style="0" width="11"/>
    <col collapsed="false" customWidth="true" hidden="false" outlineLevel="0" max="13" min="13" style="0" width="16"/>
    <col collapsed="false" customWidth="true" hidden="false" outlineLevel="0" max="14" min="14" style="0" width="9"/>
  </cols>
  <sheetData>
    <row r="1" customFormat="false" ht="17.35" hidden="false" customHeight="false" outlineLevel="0" collapsed="false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631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1.5" hidden="false" customHeight="true" outlineLevel="0" collapsed="false">
      <c r="A4" s="8" t="s">
        <v>632</v>
      </c>
      <c r="B4" s="8" t="s">
        <v>633</v>
      </c>
      <c r="C4" s="8" t="s">
        <v>634</v>
      </c>
      <c r="D4" s="8" t="s">
        <v>635</v>
      </c>
      <c r="E4" s="8" t="s">
        <v>636</v>
      </c>
      <c r="F4" s="8" t="s">
        <v>637</v>
      </c>
      <c r="G4" s="8" t="s">
        <v>638</v>
      </c>
      <c r="H4" s="8" t="s">
        <v>639</v>
      </c>
      <c r="I4" s="8" t="s">
        <v>640</v>
      </c>
      <c r="J4" s="8" t="s">
        <v>641</v>
      </c>
      <c r="K4" s="8" t="s">
        <v>642</v>
      </c>
      <c r="L4" s="8" t="s">
        <v>643</v>
      </c>
      <c r="M4" s="8" t="s">
        <v>644</v>
      </c>
      <c r="N4" s="8" t="s">
        <v>316</v>
      </c>
    </row>
    <row r="5" customFormat="false" ht="15" hidden="false" customHeight="false" outlineLevel="0" collapsed="false">
      <c r="A5" s="2" t="n">
        <v>1</v>
      </c>
      <c r="B5" s="32" t="n">
        <f aca="false">Settings!$B$11+Settings!$B$12*A5</f>
        <v>140</v>
      </c>
      <c r="C5" s="33" t="n">
        <v>0</v>
      </c>
      <c r="D5" s="32" t="n">
        <v>0</v>
      </c>
      <c r="E5" s="9" t="n">
        <f aca="false">Settings!$B$16+(A5&gt;=Settings!$B$17)</f>
        <v>3</v>
      </c>
      <c r="F5" s="9" t="n">
        <f aca="false">Settings!$B$18+(A5&gt;=Settings!$B$19)+(A5&gt;=Settings!$B$20)</f>
        <v>1</v>
      </c>
      <c r="G5" s="2" t="n">
        <f aca="false">E5*F5</f>
        <v>3</v>
      </c>
      <c r="H5" s="9" t="n">
        <f aca="false">Settings!$B$47+COUNTIF(Settings!$B$48:$B$53,"&lt;="&amp;A5)</f>
        <v>3</v>
      </c>
      <c r="I5" s="9" t="n">
        <f aca="false">COUNTIF(Settings!$B$83:$B$91,"&lt;="&amp;A5)</f>
        <v>0</v>
      </c>
      <c r="J5" s="9" t="n">
        <f aca="false">COUNTIF(Dishes!$J$5:$J$29,A5)</f>
        <v>5</v>
      </c>
      <c r="K5" s="9" t="n">
        <f aca="false">COUNTIF(Furniture!$F$5:$F$42,A5)</f>
        <v>10</v>
      </c>
      <c r="L5" s="9" t="n">
        <f aca="false">COUNTIF(Expansions!$E$5:$E$15,A5)</f>
        <v>0</v>
      </c>
      <c r="M5" s="32" t="n">
        <f aca="false">ROUNDUP(B5/(Settings!$B$25+Settings!$B$26),0)</f>
        <v>18</v>
      </c>
      <c r="N5" s="9" t="str">
        <f aca="false">IF(A5&lt;=Settings!$B$102,"Yes","No")</f>
        <v>Yes</v>
      </c>
    </row>
    <row r="6" customFormat="false" ht="15" hidden="false" customHeight="false" outlineLevel="0" collapsed="false">
      <c r="A6" s="2" t="n">
        <v>2</v>
      </c>
      <c r="B6" s="32" t="n">
        <f aca="false">Settings!$B$11+Settings!$B$12*A6</f>
        <v>200</v>
      </c>
      <c r="C6" s="33" t="n">
        <f aca="false">C5+B5</f>
        <v>140</v>
      </c>
      <c r="D6" s="32" t="n">
        <f aca="false">Settings!$B$14</f>
        <v>100</v>
      </c>
      <c r="E6" s="9" t="n">
        <f aca="false">Settings!$B$16+(A6&gt;=Settings!$B$17)</f>
        <v>3</v>
      </c>
      <c r="F6" s="9" t="n">
        <f aca="false">Settings!$B$18+(A6&gt;=Settings!$B$19)+(A6&gt;=Settings!$B$20)</f>
        <v>1</v>
      </c>
      <c r="G6" s="2" t="n">
        <f aca="false">E6*F6</f>
        <v>3</v>
      </c>
      <c r="H6" s="9" t="n">
        <f aca="false">Settings!$B$47+COUNTIF(Settings!$B$48:$B$53,"&lt;="&amp;A6)</f>
        <v>4</v>
      </c>
      <c r="I6" s="9" t="n">
        <f aca="false">COUNTIF(Settings!$B$83:$B$91,"&lt;="&amp;A6)</f>
        <v>0</v>
      </c>
      <c r="J6" s="9" t="n">
        <f aca="false">COUNTIF(Dishes!$J$5:$J$29,A6)</f>
        <v>3</v>
      </c>
      <c r="K6" s="9" t="n">
        <f aca="false">COUNTIF(Furniture!$F$5:$F$42,A6)</f>
        <v>6</v>
      </c>
      <c r="L6" s="9" t="n">
        <f aca="false">COUNTIF(Expansions!$E$5:$E$15,A6)</f>
        <v>0</v>
      </c>
      <c r="M6" s="32" t="n">
        <f aca="false">ROUNDUP(B6/(Settings!$B$25+Settings!$B$26),0)</f>
        <v>25</v>
      </c>
      <c r="N6" s="9" t="str">
        <f aca="false">IF(A6&lt;=Settings!$B$102,"Yes","No")</f>
        <v>Yes</v>
      </c>
    </row>
    <row r="7" customFormat="false" ht="15" hidden="false" customHeight="false" outlineLevel="0" collapsed="false">
      <c r="A7" s="2" t="n">
        <v>3</v>
      </c>
      <c r="B7" s="32" t="n">
        <f aca="false">Settings!$B$11+Settings!$B$12*A7</f>
        <v>260</v>
      </c>
      <c r="C7" s="33" t="n">
        <f aca="false">C6+B6</f>
        <v>340</v>
      </c>
      <c r="D7" s="32" t="n">
        <f aca="false">Settings!$B$14</f>
        <v>100</v>
      </c>
      <c r="E7" s="9" t="n">
        <f aca="false">Settings!$B$16+(A7&gt;=Settings!$B$17)</f>
        <v>3</v>
      </c>
      <c r="F7" s="9" t="n">
        <f aca="false">Settings!$B$18+(A7&gt;=Settings!$B$19)+(A7&gt;=Settings!$B$20)</f>
        <v>1</v>
      </c>
      <c r="G7" s="2" t="n">
        <f aca="false">E7*F7</f>
        <v>3</v>
      </c>
      <c r="H7" s="9" t="n">
        <f aca="false">Settings!$B$47+COUNTIF(Settings!$B$48:$B$53,"&lt;="&amp;A7)</f>
        <v>4</v>
      </c>
      <c r="I7" s="9" t="n">
        <f aca="false">COUNTIF(Settings!$B$83:$B$91,"&lt;="&amp;A7)</f>
        <v>1</v>
      </c>
      <c r="J7" s="9" t="n">
        <f aca="false">COUNTIF(Dishes!$J$5:$J$29,A7)</f>
        <v>2</v>
      </c>
      <c r="K7" s="9" t="n">
        <f aca="false">COUNTIF(Furniture!$F$5:$F$42,A7)</f>
        <v>5</v>
      </c>
      <c r="L7" s="9" t="n">
        <f aca="false">COUNTIF(Expansions!$E$5:$E$15,A7)</f>
        <v>0</v>
      </c>
      <c r="M7" s="32" t="n">
        <f aca="false">ROUNDUP(B7/(Settings!$B$25+Settings!$B$26),0)</f>
        <v>33</v>
      </c>
      <c r="N7" s="9" t="str">
        <f aca="false">IF(A7&lt;=Settings!$B$102,"Yes","No")</f>
        <v>Yes</v>
      </c>
    </row>
    <row r="8" customFormat="false" ht="15" hidden="false" customHeight="false" outlineLevel="0" collapsed="false">
      <c r="A8" s="2" t="n">
        <v>4</v>
      </c>
      <c r="B8" s="32" t="n">
        <f aca="false">Settings!$B$11+Settings!$B$12*A8</f>
        <v>320</v>
      </c>
      <c r="C8" s="33" t="n">
        <f aca="false">C7+B7</f>
        <v>600</v>
      </c>
      <c r="D8" s="32" t="n">
        <f aca="false">Settings!$B$14</f>
        <v>100</v>
      </c>
      <c r="E8" s="9" t="n">
        <f aca="false">Settings!$B$16+(A8&gt;=Settings!$B$17)</f>
        <v>3</v>
      </c>
      <c r="F8" s="9" t="n">
        <f aca="false">Settings!$B$18+(A8&gt;=Settings!$B$19)+(A8&gt;=Settings!$B$20)</f>
        <v>1</v>
      </c>
      <c r="G8" s="2" t="n">
        <f aca="false">E8*F8</f>
        <v>3</v>
      </c>
      <c r="H8" s="9" t="n">
        <f aca="false">Settings!$B$47+COUNTIF(Settings!$B$48:$B$53,"&lt;="&amp;A8)</f>
        <v>4</v>
      </c>
      <c r="I8" s="9" t="n">
        <f aca="false">COUNTIF(Settings!$B$83:$B$91,"&lt;="&amp;A8)</f>
        <v>1</v>
      </c>
      <c r="J8" s="9" t="n">
        <f aca="false">COUNTIF(Dishes!$J$5:$J$29,A8)</f>
        <v>2</v>
      </c>
      <c r="K8" s="9" t="n">
        <f aca="false">COUNTIF(Furniture!$F$5:$F$42,A8)</f>
        <v>5</v>
      </c>
      <c r="L8" s="9" t="n">
        <f aca="false">COUNTIF(Expansions!$E$5:$E$15,A8)</f>
        <v>0</v>
      </c>
      <c r="M8" s="32" t="n">
        <f aca="false">ROUNDUP(B8/(Settings!$B$25+Settings!$B$26),0)</f>
        <v>40</v>
      </c>
      <c r="N8" s="9" t="str">
        <f aca="false">IF(A8&lt;=Settings!$B$102,"Yes","No")</f>
        <v>Yes</v>
      </c>
    </row>
    <row r="9" customFormat="false" ht="15" hidden="false" customHeight="false" outlineLevel="0" collapsed="false">
      <c r="A9" s="2" t="n">
        <v>5</v>
      </c>
      <c r="B9" s="32" t="n">
        <f aca="false">Settings!$B$11+Settings!$B$12*A9</f>
        <v>380</v>
      </c>
      <c r="C9" s="33" t="n">
        <f aca="false">C8+B8</f>
        <v>920</v>
      </c>
      <c r="D9" s="32" t="n">
        <f aca="false">Settings!$B$14</f>
        <v>100</v>
      </c>
      <c r="E9" s="9" t="n">
        <f aca="false">Settings!$B$16+(A9&gt;=Settings!$B$17)</f>
        <v>3</v>
      </c>
      <c r="F9" s="9" t="n">
        <f aca="false">Settings!$B$18+(A9&gt;=Settings!$B$19)+(A9&gt;=Settings!$B$20)</f>
        <v>1</v>
      </c>
      <c r="G9" s="2" t="n">
        <f aca="false">E9*F9</f>
        <v>3</v>
      </c>
      <c r="H9" s="9" t="n">
        <f aca="false">Settings!$B$47+COUNTIF(Settings!$B$48:$B$53,"&lt;="&amp;A9)</f>
        <v>5</v>
      </c>
      <c r="I9" s="9" t="n">
        <f aca="false">COUNTIF(Settings!$B$83:$B$91,"&lt;="&amp;A9)</f>
        <v>1</v>
      </c>
      <c r="J9" s="9" t="n">
        <f aca="false">COUNTIF(Dishes!$J$5:$J$29,A9)</f>
        <v>2</v>
      </c>
      <c r="K9" s="9" t="n">
        <f aca="false">COUNTIF(Furniture!$F$5:$F$42,A9)</f>
        <v>4</v>
      </c>
      <c r="L9" s="9" t="n">
        <f aca="false">COUNTIF(Expansions!$E$5:$E$15,A9)</f>
        <v>0</v>
      </c>
      <c r="M9" s="32" t="n">
        <f aca="false">ROUNDUP(B9/(Settings!$B$25+Settings!$B$26),0)</f>
        <v>48</v>
      </c>
      <c r="N9" s="9" t="str">
        <f aca="false">IF(A9&lt;=Settings!$B$102,"Yes","No")</f>
        <v>Yes</v>
      </c>
    </row>
    <row r="10" customFormat="false" ht="15" hidden="false" customHeight="false" outlineLevel="0" collapsed="false">
      <c r="A10" s="2" t="n">
        <v>6</v>
      </c>
      <c r="B10" s="32" t="n">
        <f aca="false">Settings!$B$11+Settings!$B$12*A10</f>
        <v>440</v>
      </c>
      <c r="C10" s="33" t="n">
        <f aca="false">C9+B9</f>
        <v>1300</v>
      </c>
      <c r="D10" s="32" t="n">
        <f aca="false">Settings!$B$14</f>
        <v>100</v>
      </c>
      <c r="E10" s="9" t="n">
        <f aca="false">Settings!$B$16+(A10&gt;=Settings!$B$17)</f>
        <v>3</v>
      </c>
      <c r="F10" s="9" t="n">
        <f aca="false">Settings!$B$18+(A10&gt;=Settings!$B$19)+(A10&gt;=Settings!$B$20)</f>
        <v>1</v>
      </c>
      <c r="G10" s="2" t="n">
        <f aca="false">E10*F10</f>
        <v>3</v>
      </c>
      <c r="H10" s="9" t="n">
        <f aca="false">Settings!$B$47+COUNTIF(Settings!$B$48:$B$53,"&lt;="&amp;A10)</f>
        <v>5</v>
      </c>
      <c r="I10" s="9" t="n">
        <f aca="false">COUNTIF(Settings!$B$83:$B$91,"&lt;="&amp;A10)</f>
        <v>2</v>
      </c>
      <c r="J10" s="9" t="n">
        <f aca="false">COUNTIF(Dishes!$J$5:$J$29,A10)</f>
        <v>2</v>
      </c>
      <c r="K10" s="9" t="n">
        <f aca="false">COUNTIF(Furniture!$F$5:$F$42,A10)</f>
        <v>2</v>
      </c>
      <c r="L10" s="9" t="n">
        <f aca="false">COUNTIF(Expansions!$E$5:$E$15,A10)</f>
        <v>1</v>
      </c>
      <c r="M10" s="32" t="n">
        <f aca="false">ROUNDUP(B10/(Settings!$B$25+Settings!$B$26),0)</f>
        <v>55</v>
      </c>
      <c r="N10" s="9" t="str">
        <f aca="false">IF(A10&lt;=Settings!$B$102,"Yes","No")</f>
        <v>Yes</v>
      </c>
    </row>
    <row r="11" customFormat="false" ht="15" hidden="false" customHeight="false" outlineLevel="0" collapsed="false">
      <c r="A11" s="2" t="n">
        <v>7</v>
      </c>
      <c r="B11" s="32" t="n">
        <f aca="false">Settings!$B$11+Settings!$B$12*A11</f>
        <v>500</v>
      </c>
      <c r="C11" s="33" t="n">
        <f aca="false">C10+B10</f>
        <v>1740</v>
      </c>
      <c r="D11" s="32" t="n">
        <f aca="false">Settings!$B$14</f>
        <v>100</v>
      </c>
      <c r="E11" s="9" t="n">
        <f aca="false">Settings!$B$16+(A11&gt;=Settings!$B$17)</f>
        <v>3</v>
      </c>
      <c r="F11" s="9" t="n">
        <f aca="false">Settings!$B$18+(A11&gt;=Settings!$B$19)+(A11&gt;=Settings!$B$20)</f>
        <v>1</v>
      </c>
      <c r="G11" s="2" t="n">
        <f aca="false">E11*F11</f>
        <v>3</v>
      </c>
      <c r="H11" s="9" t="n">
        <f aca="false">Settings!$B$47+COUNTIF(Settings!$B$48:$B$53,"&lt;="&amp;A11)</f>
        <v>5</v>
      </c>
      <c r="I11" s="9" t="n">
        <f aca="false">COUNTIF(Settings!$B$83:$B$91,"&lt;="&amp;A11)</f>
        <v>2</v>
      </c>
      <c r="J11" s="9" t="n">
        <f aca="false">COUNTIF(Dishes!$J$5:$J$29,A11)</f>
        <v>1</v>
      </c>
      <c r="K11" s="9" t="n">
        <f aca="false">COUNTIF(Furniture!$F$5:$F$42,A11)</f>
        <v>3</v>
      </c>
      <c r="L11" s="9" t="n">
        <f aca="false">COUNTIF(Expansions!$E$5:$E$15,A11)</f>
        <v>0</v>
      </c>
      <c r="M11" s="32" t="n">
        <f aca="false">ROUNDUP(B11/(Settings!$B$25+Settings!$B$26),0)</f>
        <v>63</v>
      </c>
      <c r="N11" s="9" t="str">
        <f aca="false">IF(A11&lt;=Settings!$B$102,"Yes","No")</f>
        <v>Yes</v>
      </c>
    </row>
    <row r="12" customFormat="false" ht="15" hidden="false" customHeight="false" outlineLevel="0" collapsed="false">
      <c r="A12" s="2" t="n">
        <v>8</v>
      </c>
      <c r="B12" s="32" t="n">
        <f aca="false">Settings!$B$11+Settings!$B$12*A12</f>
        <v>560</v>
      </c>
      <c r="C12" s="33" t="n">
        <f aca="false">C11+B11</f>
        <v>2240</v>
      </c>
      <c r="D12" s="32" t="n">
        <f aca="false">Settings!$B$14</f>
        <v>100</v>
      </c>
      <c r="E12" s="9" t="n">
        <f aca="false">Settings!$B$16+(A12&gt;=Settings!$B$17)</f>
        <v>3</v>
      </c>
      <c r="F12" s="9" t="n">
        <f aca="false">Settings!$B$18+(A12&gt;=Settings!$B$19)+(A12&gt;=Settings!$B$20)</f>
        <v>1</v>
      </c>
      <c r="G12" s="2" t="n">
        <f aca="false">E12*F12</f>
        <v>3</v>
      </c>
      <c r="H12" s="9" t="n">
        <f aca="false">Settings!$B$47+COUNTIF(Settings!$B$48:$B$53,"&lt;="&amp;A12)</f>
        <v>5</v>
      </c>
      <c r="I12" s="9" t="n">
        <f aca="false">COUNTIF(Settings!$B$83:$B$91,"&lt;="&amp;A12)</f>
        <v>2</v>
      </c>
      <c r="J12" s="9" t="n">
        <f aca="false">COUNTIF(Dishes!$J$5:$J$29,A12)</f>
        <v>1</v>
      </c>
      <c r="K12" s="9" t="n">
        <f aca="false">COUNTIF(Furniture!$F$5:$F$42,A12)</f>
        <v>2</v>
      </c>
      <c r="L12" s="9" t="n">
        <f aca="false">COUNTIF(Expansions!$E$5:$E$15,A12)</f>
        <v>0</v>
      </c>
      <c r="M12" s="32" t="n">
        <f aca="false">ROUNDUP(B12/(Settings!$B$25+Settings!$B$26),0)</f>
        <v>70</v>
      </c>
      <c r="N12" s="9" t="str">
        <f aca="false">IF(A12&lt;=Settings!$B$102,"Yes","No")</f>
        <v>Yes</v>
      </c>
    </row>
    <row r="13" customFormat="false" ht="15" hidden="false" customHeight="false" outlineLevel="0" collapsed="false">
      <c r="A13" s="2" t="n">
        <v>9</v>
      </c>
      <c r="B13" s="32" t="n">
        <f aca="false">Settings!$B$11+Settings!$B$12*A13</f>
        <v>620</v>
      </c>
      <c r="C13" s="33" t="n">
        <f aca="false">C12+B12</f>
        <v>2800</v>
      </c>
      <c r="D13" s="32" t="n">
        <f aca="false">Settings!$B$14</f>
        <v>100</v>
      </c>
      <c r="E13" s="9" t="n">
        <f aca="false">Settings!$B$16+(A13&gt;=Settings!$B$17)</f>
        <v>3</v>
      </c>
      <c r="F13" s="9" t="n">
        <f aca="false">Settings!$B$18+(A13&gt;=Settings!$B$19)+(A13&gt;=Settings!$B$20)</f>
        <v>1</v>
      </c>
      <c r="G13" s="2" t="n">
        <f aca="false">E13*F13</f>
        <v>3</v>
      </c>
      <c r="H13" s="9" t="n">
        <f aca="false">Settings!$B$47+COUNTIF(Settings!$B$48:$B$53,"&lt;="&amp;A13)</f>
        <v>5</v>
      </c>
      <c r="I13" s="9" t="n">
        <f aca="false">COUNTIF(Settings!$B$83:$B$91,"&lt;="&amp;A13)</f>
        <v>3</v>
      </c>
      <c r="J13" s="9" t="n">
        <f aca="false">COUNTIF(Dishes!$J$5:$J$29,A13)</f>
        <v>1</v>
      </c>
      <c r="K13" s="9" t="n">
        <f aca="false">COUNTIF(Furniture!$F$5:$F$42,A13)</f>
        <v>0</v>
      </c>
      <c r="L13" s="9" t="n">
        <f aca="false">COUNTIF(Expansions!$E$5:$E$15,A13)</f>
        <v>0</v>
      </c>
      <c r="M13" s="32" t="n">
        <f aca="false">ROUNDUP(B13/(Settings!$B$25+Settings!$B$26),0)</f>
        <v>78</v>
      </c>
      <c r="N13" s="9" t="str">
        <f aca="false">IF(A13&lt;=Settings!$B$102,"Yes","No")</f>
        <v>Yes</v>
      </c>
    </row>
    <row r="14" customFormat="false" ht="15" hidden="false" customHeight="false" outlineLevel="0" collapsed="false">
      <c r="A14" s="2" t="n">
        <v>10</v>
      </c>
      <c r="B14" s="32" t="n">
        <f aca="false">Settings!$B$11+Settings!$B$12*A14</f>
        <v>680</v>
      </c>
      <c r="C14" s="33" t="n">
        <f aca="false">C13+B13</f>
        <v>3420</v>
      </c>
      <c r="D14" s="32" t="n">
        <f aca="false">Settings!$B$14</f>
        <v>100</v>
      </c>
      <c r="E14" s="9" t="n">
        <f aca="false">Settings!$B$16+(A14&gt;=Settings!$B$17)</f>
        <v>3</v>
      </c>
      <c r="F14" s="9" t="n">
        <f aca="false">Settings!$B$18+(A14&gt;=Settings!$B$19)+(A14&gt;=Settings!$B$20)</f>
        <v>2</v>
      </c>
      <c r="G14" s="2" t="n">
        <f aca="false">E14*F14</f>
        <v>6</v>
      </c>
      <c r="H14" s="9" t="n">
        <f aca="false">Settings!$B$47+COUNTIF(Settings!$B$48:$B$53,"&lt;="&amp;A14)</f>
        <v>5</v>
      </c>
      <c r="I14" s="9" t="n">
        <f aca="false">COUNTIF(Settings!$B$83:$B$91,"&lt;="&amp;A14)</f>
        <v>3</v>
      </c>
      <c r="J14" s="9" t="n">
        <f aca="false">COUNTIF(Dishes!$J$5:$J$29,A14)</f>
        <v>1</v>
      </c>
      <c r="K14" s="9" t="n">
        <f aca="false">COUNTIF(Furniture!$F$5:$F$42,A14)</f>
        <v>0</v>
      </c>
      <c r="L14" s="9" t="n">
        <f aca="false">COUNTIF(Expansions!$E$5:$E$15,A14)</f>
        <v>0</v>
      </c>
      <c r="M14" s="32" t="n">
        <f aca="false">ROUNDUP(B14/(Settings!$B$25+Settings!$B$26),0)</f>
        <v>85</v>
      </c>
      <c r="N14" s="9" t="str">
        <f aca="false">IF(A14&lt;=Settings!$B$102,"Yes","No")</f>
        <v>Yes</v>
      </c>
    </row>
    <row r="15" customFormat="false" ht="15" hidden="false" customHeight="false" outlineLevel="0" collapsed="false">
      <c r="A15" s="2" t="n">
        <v>11</v>
      </c>
      <c r="B15" s="32" t="n">
        <f aca="false">Settings!$B$11+Settings!$B$12*A15</f>
        <v>740</v>
      </c>
      <c r="C15" s="33" t="n">
        <f aca="false">C14+B14</f>
        <v>4100</v>
      </c>
      <c r="D15" s="32" t="n">
        <f aca="false">Settings!$B$14</f>
        <v>100</v>
      </c>
      <c r="E15" s="9" t="n">
        <f aca="false">Settings!$B$16+(A15&gt;=Settings!$B$17)</f>
        <v>3</v>
      </c>
      <c r="F15" s="9" t="n">
        <f aca="false">Settings!$B$18+(A15&gt;=Settings!$B$19)+(A15&gt;=Settings!$B$20)</f>
        <v>2</v>
      </c>
      <c r="G15" s="2" t="n">
        <f aca="false">E15*F15</f>
        <v>6</v>
      </c>
      <c r="H15" s="9" t="n">
        <f aca="false">Settings!$B$47+COUNTIF(Settings!$B$48:$B$53,"&lt;="&amp;A15)</f>
        <v>6</v>
      </c>
      <c r="I15" s="9" t="n">
        <f aca="false">COUNTIF(Settings!$B$83:$B$91,"&lt;="&amp;A15)</f>
        <v>3</v>
      </c>
      <c r="J15" s="9" t="n">
        <f aca="false">COUNTIF(Dishes!$J$5:$J$29,A15)</f>
        <v>0</v>
      </c>
      <c r="K15" s="9" t="n">
        <f aca="false">COUNTIF(Furniture!$F$5:$F$42,A15)</f>
        <v>0</v>
      </c>
      <c r="L15" s="9" t="n">
        <f aca="false">COUNTIF(Expansions!$E$5:$E$15,A15)</f>
        <v>0</v>
      </c>
      <c r="M15" s="32" t="n">
        <f aca="false">ROUNDUP(B15/(Settings!$B$25+Settings!$B$26),0)</f>
        <v>93</v>
      </c>
      <c r="N15" s="9" t="str">
        <f aca="false">IF(A15&lt;=Settings!$B$102,"Yes","No")</f>
        <v>No</v>
      </c>
    </row>
    <row r="16" customFormat="false" ht="15" hidden="false" customHeight="false" outlineLevel="0" collapsed="false">
      <c r="A16" s="2" t="n">
        <v>12</v>
      </c>
      <c r="B16" s="32" t="n">
        <f aca="false">Settings!$B$11+Settings!$B$12*A16</f>
        <v>800</v>
      </c>
      <c r="C16" s="33" t="n">
        <f aca="false">C15+B15</f>
        <v>4840</v>
      </c>
      <c r="D16" s="32" t="n">
        <f aca="false">Settings!$B$14</f>
        <v>100</v>
      </c>
      <c r="E16" s="9" t="n">
        <f aca="false">Settings!$B$16+(A16&gt;=Settings!$B$17)</f>
        <v>3</v>
      </c>
      <c r="F16" s="9" t="n">
        <f aca="false">Settings!$B$18+(A16&gt;=Settings!$B$19)+(A16&gt;=Settings!$B$20)</f>
        <v>2</v>
      </c>
      <c r="G16" s="2" t="n">
        <f aca="false">E16*F16</f>
        <v>6</v>
      </c>
      <c r="H16" s="9" t="n">
        <f aca="false">Settings!$B$47+COUNTIF(Settings!$B$48:$B$53,"&lt;="&amp;A16)</f>
        <v>6</v>
      </c>
      <c r="I16" s="9" t="n">
        <f aca="false">COUNTIF(Settings!$B$83:$B$91,"&lt;="&amp;A16)</f>
        <v>3</v>
      </c>
      <c r="J16" s="9" t="n">
        <f aca="false">COUNTIF(Dishes!$J$5:$J$29,A16)</f>
        <v>0</v>
      </c>
      <c r="K16" s="9" t="n">
        <f aca="false">COUNTIF(Furniture!$F$5:$F$42,A16)</f>
        <v>0</v>
      </c>
      <c r="L16" s="9" t="n">
        <f aca="false">COUNTIF(Expansions!$E$5:$E$15,A16)</f>
        <v>1</v>
      </c>
      <c r="M16" s="32" t="n">
        <f aca="false">ROUNDUP(B16/(Settings!$B$25+Settings!$B$26),0)</f>
        <v>100</v>
      </c>
      <c r="N16" s="9" t="str">
        <f aca="false">IF(A16&lt;=Settings!$B$102,"Yes","No")</f>
        <v>No</v>
      </c>
    </row>
    <row r="17" customFormat="false" ht="15" hidden="false" customHeight="false" outlineLevel="0" collapsed="false">
      <c r="A17" s="2" t="n">
        <v>13</v>
      </c>
      <c r="B17" s="32" t="n">
        <f aca="false">Settings!$B$11+Settings!$B$12*A17</f>
        <v>860</v>
      </c>
      <c r="C17" s="33" t="n">
        <f aca="false">C16+B16</f>
        <v>5640</v>
      </c>
      <c r="D17" s="32" t="n">
        <f aca="false">Settings!$B$14</f>
        <v>100</v>
      </c>
      <c r="E17" s="9" t="n">
        <f aca="false">Settings!$B$16+(A17&gt;=Settings!$B$17)</f>
        <v>3</v>
      </c>
      <c r="F17" s="9" t="n">
        <f aca="false">Settings!$B$18+(A17&gt;=Settings!$B$19)+(A17&gt;=Settings!$B$20)</f>
        <v>2</v>
      </c>
      <c r="G17" s="2" t="n">
        <f aca="false">E17*F17</f>
        <v>6</v>
      </c>
      <c r="H17" s="9" t="n">
        <f aca="false">Settings!$B$47+COUNTIF(Settings!$B$48:$B$53,"&lt;="&amp;A17)</f>
        <v>6</v>
      </c>
      <c r="I17" s="9" t="n">
        <f aca="false">COUNTIF(Settings!$B$83:$B$91,"&lt;="&amp;A17)</f>
        <v>4</v>
      </c>
      <c r="J17" s="9" t="n">
        <f aca="false">COUNTIF(Dishes!$J$5:$J$29,A17)</f>
        <v>0</v>
      </c>
      <c r="K17" s="9" t="n">
        <f aca="false">COUNTIF(Furniture!$F$5:$F$42,A17)</f>
        <v>0</v>
      </c>
      <c r="L17" s="9" t="n">
        <f aca="false">COUNTIF(Expansions!$E$5:$E$15,A17)</f>
        <v>0</v>
      </c>
      <c r="M17" s="32" t="n">
        <f aca="false">ROUNDUP(B17/(Settings!$B$25+Settings!$B$26),0)</f>
        <v>108</v>
      </c>
      <c r="N17" s="9" t="str">
        <f aca="false">IF(A17&lt;=Settings!$B$102,"Yes","No")</f>
        <v>No</v>
      </c>
    </row>
    <row r="18" customFormat="false" ht="15" hidden="false" customHeight="false" outlineLevel="0" collapsed="false">
      <c r="A18" s="2" t="n">
        <v>14</v>
      </c>
      <c r="B18" s="32" t="n">
        <f aca="false">Settings!$B$11+Settings!$B$12*A18</f>
        <v>920</v>
      </c>
      <c r="C18" s="33" t="n">
        <f aca="false">C17+B17</f>
        <v>6500</v>
      </c>
      <c r="D18" s="32" t="n">
        <f aca="false">Settings!$B$14</f>
        <v>100</v>
      </c>
      <c r="E18" s="9" t="n">
        <f aca="false">Settings!$B$16+(A18&gt;=Settings!$B$17)</f>
        <v>3</v>
      </c>
      <c r="F18" s="9" t="n">
        <f aca="false">Settings!$B$18+(A18&gt;=Settings!$B$19)+(A18&gt;=Settings!$B$20)</f>
        <v>2</v>
      </c>
      <c r="G18" s="2" t="n">
        <f aca="false">E18*F18</f>
        <v>6</v>
      </c>
      <c r="H18" s="9" t="n">
        <f aca="false">Settings!$B$47+COUNTIF(Settings!$B$48:$B$53,"&lt;="&amp;A18)</f>
        <v>7</v>
      </c>
      <c r="I18" s="9" t="n">
        <f aca="false">COUNTIF(Settings!$B$83:$B$91,"&lt;="&amp;A18)</f>
        <v>4</v>
      </c>
      <c r="J18" s="9" t="n">
        <f aca="false">COUNTIF(Dishes!$J$5:$J$29,A18)</f>
        <v>0</v>
      </c>
      <c r="K18" s="9" t="n">
        <f aca="false">COUNTIF(Furniture!$F$5:$F$42,A18)</f>
        <v>0</v>
      </c>
      <c r="L18" s="9" t="n">
        <f aca="false">COUNTIF(Expansions!$E$5:$E$15,A18)</f>
        <v>0</v>
      </c>
      <c r="M18" s="32" t="n">
        <f aca="false">ROUNDUP(B18/(Settings!$B$25+Settings!$B$26),0)</f>
        <v>115</v>
      </c>
      <c r="N18" s="9" t="str">
        <f aca="false">IF(A18&lt;=Settings!$B$102,"Yes","No")</f>
        <v>No</v>
      </c>
    </row>
    <row r="19" customFormat="false" ht="15" hidden="false" customHeight="false" outlineLevel="0" collapsed="false">
      <c r="A19" s="2" t="n">
        <v>15</v>
      </c>
      <c r="B19" s="32" t="n">
        <f aca="false">Settings!$B$11+Settings!$B$12*A19</f>
        <v>980</v>
      </c>
      <c r="C19" s="33" t="n">
        <f aca="false">C18+B18</f>
        <v>7420</v>
      </c>
      <c r="D19" s="32" t="n">
        <f aca="false">Settings!$B$14</f>
        <v>100</v>
      </c>
      <c r="E19" s="9" t="n">
        <f aca="false">Settings!$B$16+(A19&gt;=Settings!$B$17)</f>
        <v>4</v>
      </c>
      <c r="F19" s="9" t="n">
        <f aca="false">Settings!$B$18+(A19&gt;=Settings!$B$19)+(A19&gt;=Settings!$B$20)</f>
        <v>2</v>
      </c>
      <c r="G19" s="2" t="n">
        <f aca="false">E19*F19</f>
        <v>8</v>
      </c>
      <c r="H19" s="9" t="n">
        <f aca="false">Settings!$B$47+COUNTIF(Settings!$B$48:$B$53,"&lt;="&amp;A19)</f>
        <v>7</v>
      </c>
      <c r="I19" s="9" t="n">
        <f aca="false">COUNTIF(Settings!$B$83:$B$91,"&lt;="&amp;A19)</f>
        <v>4</v>
      </c>
      <c r="J19" s="9" t="n">
        <f aca="false">COUNTIF(Dishes!$J$5:$J$29,A19)</f>
        <v>1</v>
      </c>
      <c r="K19" s="9" t="n">
        <f aca="false">COUNTIF(Furniture!$F$5:$F$42,A19)</f>
        <v>1</v>
      </c>
      <c r="L19" s="9" t="n">
        <f aca="false">COUNTIF(Expansions!$E$5:$E$15,A19)</f>
        <v>0</v>
      </c>
      <c r="M19" s="32" t="n">
        <f aca="false">ROUNDUP(B19/(Settings!$B$25+Settings!$B$26),0)</f>
        <v>123</v>
      </c>
      <c r="N19" s="9" t="str">
        <f aca="false">IF(A19&lt;=Settings!$B$102,"Yes","No")</f>
        <v>No</v>
      </c>
    </row>
    <row r="20" customFormat="false" ht="15" hidden="false" customHeight="false" outlineLevel="0" collapsed="false">
      <c r="A20" s="2" t="n">
        <v>16</v>
      </c>
      <c r="B20" s="32" t="n">
        <f aca="false">Settings!$B$11+Settings!$B$12*A20</f>
        <v>1040</v>
      </c>
      <c r="C20" s="33" t="n">
        <f aca="false">C19+B19</f>
        <v>8400</v>
      </c>
      <c r="D20" s="32" t="n">
        <f aca="false">Settings!$B$14</f>
        <v>100</v>
      </c>
      <c r="E20" s="9" t="n">
        <f aca="false">Settings!$B$16+(A20&gt;=Settings!$B$17)</f>
        <v>4</v>
      </c>
      <c r="F20" s="9" t="n">
        <f aca="false">Settings!$B$18+(A20&gt;=Settings!$B$19)+(A20&gt;=Settings!$B$20)</f>
        <v>2</v>
      </c>
      <c r="G20" s="2" t="n">
        <f aca="false">E20*F20</f>
        <v>8</v>
      </c>
      <c r="H20" s="9" t="n">
        <f aca="false">Settings!$B$47+COUNTIF(Settings!$B$48:$B$53,"&lt;="&amp;A20)</f>
        <v>7</v>
      </c>
      <c r="I20" s="9" t="n">
        <f aca="false">COUNTIF(Settings!$B$83:$B$91,"&lt;="&amp;A20)</f>
        <v>4</v>
      </c>
      <c r="J20" s="9" t="n">
        <f aca="false">COUNTIF(Dishes!$J$5:$J$29,A20)</f>
        <v>1</v>
      </c>
      <c r="K20" s="9" t="n">
        <f aca="false">COUNTIF(Furniture!$F$5:$F$42,A20)</f>
        <v>0</v>
      </c>
      <c r="L20" s="9" t="n">
        <f aca="false">COUNTIF(Expansions!$E$5:$E$15,A20)</f>
        <v>0</v>
      </c>
      <c r="M20" s="32" t="n">
        <f aca="false">ROUNDUP(B20/(Settings!$B$25+Settings!$B$26),0)</f>
        <v>130</v>
      </c>
      <c r="N20" s="9" t="str">
        <f aca="false">IF(A20&lt;=Settings!$B$102,"Yes","No")</f>
        <v>No</v>
      </c>
    </row>
    <row r="21" customFormat="false" ht="15" hidden="false" customHeight="false" outlineLevel="0" collapsed="false">
      <c r="A21" s="2" t="n">
        <v>17</v>
      </c>
      <c r="B21" s="32" t="n">
        <f aca="false">Settings!$B$11+Settings!$B$12*A21</f>
        <v>1100</v>
      </c>
      <c r="C21" s="33" t="n">
        <f aca="false">C20+B20</f>
        <v>9440</v>
      </c>
      <c r="D21" s="32" t="n">
        <f aca="false">Settings!$B$14</f>
        <v>100</v>
      </c>
      <c r="E21" s="9" t="n">
        <f aca="false">Settings!$B$16+(A21&gt;=Settings!$B$17)</f>
        <v>4</v>
      </c>
      <c r="F21" s="9" t="n">
        <f aca="false">Settings!$B$18+(A21&gt;=Settings!$B$19)+(A21&gt;=Settings!$B$20)</f>
        <v>2</v>
      </c>
      <c r="G21" s="2" t="n">
        <f aca="false">E21*F21</f>
        <v>8</v>
      </c>
      <c r="H21" s="9" t="n">
        <f aca="false">Settings!$B$47+COUNTIF(Settings!$B$48:$B$53,"&lt;="&amp;A21)</f>
        <v>8</v>
      </c>
      <c r="I21" s="9" t="n">
        <f aca="false">COUNTIF(Settings!$B$83:$B$91,"&lt;="&amp;A21)</f>
        <v>4</v>
      </c>
      <c r="J21" s="9" t="n">
        <f aca="false">COUNTIF(Dishes!$J$5:$J$29,A21)</f>
        <v>1</v>
      </c>
      <c r="K21" s="9" t="n">
        <f aca="false">COUNTIF(Furniture!$F$5:$F$42,A21)</f>
        <v>0</v>
      </c>
      <c r="L21" s="9" t="n">
        <f aca="false">COUNTIF(Expansions!$E$5:$E$15,A21)</f>
        <v>0</v>
      </c>
      <c r="M21" s="32" t="n">
        <f aca="false">ROUNDUP(B21/(Settings!$B$25+Settings!$B$26),0)</f>
        <v>138</v>
      </c>
      <c r="N21" s="9" t="str">
        <f aca="false">IF(A21&lt;=Settings!$B$102,"Yes","No")</f>
        <v>No</v>
      </c>
    </row>
    <row r="22" customFormat="false" ht="15" hidden="false" customHeight="false" outlineLevel="0" collapsed="false">
      <c r="A22" s="2" t="n">
        <v>18</v>
      </c>
      <c r="B22" s="32" t="n">
        <f aca="false">Settings!$B$11+Settings!$B$12*A22</f>
        <v>1160</v>
      </c>
      <c r="C22" s="33" t="n">
        <f aca="false">C21+B21</f>
        <v>10540</v>
      </c>
      <c r="D22" s="32" t="n">
        <f aca="false">Settings!$B$14</f>
        <v>100</v>
      </c>
      <c r="E22" s="9" t="n">
        <f aca="false">Settings!$B$16+(A22&gt;=Settings!$B$17)</f>
        <v>4</v>
      </c>
      <c r="F22" s="9" t="n">
        <f aca="false">Settings!$B$18+(A22&gt;=Settings!$B$19)+(A22&gt;=Settings!$B$20)</f>
        <v>2</v>
      </c>
      <c r="G22" s="2" t="n">
        <f aca="false">E22*F22</f>
        <v>8</v>
      </c>
      <c r="H22" s="9" t="n">
        <f aca="false">Settings!$B$47+COUNTIF(Settings!$B$48:$B$53,"&lt;="&amp;A22)</f>
        <v>8</v>
      </c>
      <c r="I22" s="9" t="n">
        <f aca="false">COUNTIF(Settings!$B$83:$B$91,"&lt;="&amp;A22)</f>
        <v>5</v>
      </c>
      <c r="J22" s="9" t="n">
        <f aca="false">COUNTIF(Dishes!$J$5:$J$29,A22)</f>
        <v>1</v>
      </c>
      <c r="K22" s="9" t="n">
        <f aca="false">COUNTIF(Furniture!$F$5:$F$42,A22)</f>
        <v>0</v>
      </c>
      <c r="L22" s="9" t="n">
        <f aca="false">COUNTIF(Expansions!$E$5:$E$15,A22)</f>
        <v>1</v>
      </c>
      <c r="M22" s="32" t="n">
        <f aca="false">ROUNDUP(B22/(Settings!$B$25+Settings!$B$26),0)</f>
        <v>145</v>
      </c>
      <c r="N22" s="9" t="str">
        <f aca="false">IF(A22&lt;=Settings!$B$102,"Yes","No")</f>
        <v>No</v>
      </c>
    </row>
    <row r="23" customFormat="false" ht="15" hidden="false" customHeight="false" outlineLevel="0" collapsed="false">
      <c r="A23" s="2" t="n">
        <v>19</v>
      </c>
      <c r="B23" s="32" t="n">
        <f aca="false">Settings!$B$11+Settings!$B$12*A23</f>
        <v>1220</v>
      </c>
      <c r="C23" s="33" t="n">
        <f aca="false">C22+B22</f>
        <v>11700</v>
      </c>
      <c r="D23" s="32" t="n">
        <f aca="false">Settings!$B$14</f>
        <v>100</v>
      </c>
      <c r="E23" s="9" t="n">
        <f aca="false">Settings!$B$16+(A23&gt;=Settings!$B$17)</f>
        <v>4</v>
      </c>
      <c r="F23" s="9" t="n">
        <f aca="false">Settings!$B$18+(A23&gt;=Settings!$B$19)+(A23&gt;=Settings!$B$20)</f>
        <v>2</v>
      </c>
      <c r="G23" s="2" t="n">
        <f aca="false">E23*F23</f>
        <v>8</v>
      </c>
      <c r="H23" s="9" t="n">
        <f aca="false">Settings!$B$47+COUNTIF(Settings!$B$48:$B$53,"&lt;="&amp;A23)</f>
        <v>8</v>
      </c>
      <c r="I23" s="9" t="n">
        <f aca="false">COUNTIF(Settings!$B$83:$B$91,"&lt;="&amp;A23)</f>
        <v>5</v>
      </c>
      <c r="J23" s="9" t="n">
        <f aca="false">COUNTIF(Dishes!$J$5:$J$29,A23)</f>
        <v>0</v>
      </c>
      <c r="K23" s="9" t="n">
        <f aca="false">COUNTIF(Furniture!$F$5:$F$42,A23)</f>
        <v>0</v>
      </c>
      <c r="L23" s="9" t="n">
        <f aca="false">COUNTIF(Expansions!$E$5:$E$15,A23)</f>
        <v>0</v>
      </c>
      <c r="M23" s="32" t="n">
        <f aca="false">ROUNDUP(B23/(Settings!$B$25+Settings!$B$26),0)</f>
        <v>153</v>
      </c>
      <c r="N23" s="9" t="str">
        <f aca="false">IF(A23&lt;=Settings!$B$102,"Yes","No")</f>
        <v>No</v>
      </c>
    </row>
    <row r="24" customFormat="false" ht="15" hidden="false" customHeight="false" outlineLevel="0" collapsed="false">
      <c r="A24" s="2" t="n">
        <v>20</v>
      </c>
      <c r="B24" s="32" t="n">
        <f aca="false">Settings!$B$11+Settings!$B$12*A24</f>
        <v>1280</v>
      </c>
      <c r="C24" s="33" t="n">
        <f aca="false">C23+B23</f>
        <v>12920</v>
      </c>
      <c r="D24" s="32" t="n">
        <f aca="false">Settings!$B$14</f>
        <v>100</v>
      </c>
      <c r="E24" s="9" t="n">
        <f aca="false">Settings!$B$16+(A24&gt;=Settings!$B$17)</f>
        <v>4</v>
      </c>
      <c r="F24" s="9" t="n">
        <f aca="false">Settings!$B$18+(A24&gt;=Settings!$B$19)+(A24&gt;=Settings!$B$20)</f>
        <v>3</v>
      </c>
      <c r="G24" s="2" t="n">
        <f aca="false">E24*F24</f>
        <v>12</v>
      </c>
      <c r="H24" s="9" t="n">
        <f aca="false">Settings!$B$47+COUNTIF(Settings!$B$48:$B$53,"&lt;="&amp;A24)</f>
        <v>8</v>
      </c>
      <c r="I24" s="9" t="n">
        <f aca="false">COUNTIF(Settings!$B$83:$B$91,"&lt;="&amp;A24)</f>
        <v>5</v>
      </c>
      <c r="J24" s="9" t="n">
        <f aca="false">COUNTIF(Dishes!$J$5:$J$29,A24)</f>
        <v>1</v>
      </c>
      <c r="K24" s="9" t="n">
        <f aca="false">COUNTIF(Furniture!$F$5:$F$42,A24)</f>
        <v>0</v>
      </c>
      <c r="L24" s="9" t="n">
        <f aca="false">COUNTIF(Expansions!$E$5:$E$15,A24)</f>
        <v>1</v>
      </c>
      <c r="M24" s="32" t="n">
        <f aca="false">ROUNDUP(B24/(Settings!$B$25+Settings!$B$26),0)</f>
        <v>160</v>
      </c>
      <c r="N24" s="9" t="str">
        <f aca="false">IF(A24&lt;=Settings!$B$102,"Yes","No")</f>
        <v>No</v>
      </c>
    </row>
    <row r="25" customFormat="false" ht="15" hidden="false" customHeight="false" outlineLevel="0" collapsed="false">
      <c r="A25" s="2" t="n">
        <v>21</v>
      </c>
      <c r="B25" s="32" t="n">
        <f aca="false">Settings!$B$11+Settings!$B$12*A25</f>
        <v>1340</v>
      </c>
      <c r="C25" s="33" t="n">
        <f aca="false">C24+B24</f>
        <v>14200</v>
      </c>
      <c r="D25" s="32" t="n">
        <f aca="false">Settings!$B$14</f>
        <v>100</v>
      </c>
      <c r="E25" s="9" t="n">
        <f aca="false">Settings!$B$16+(A25&gt;=Settings!$B$17)</f>
        <v>4</v>
      </c>
      <c r="F25" s="9" t="n">
        <f aca="false">Settings!$B$18+(A25&gt;=Settings!$B$19)+(A25&gt;=Settings!$B$20)</f>
        <v>3</v>
      </c>
      <c r="G25" s="2" t="n">
        <f aca="false">E25*F25</f>
        <v>12</v>
      </c>
      <c r="H25" s="9" t="n">
        <f aca="false">Settings!$B$47+COUNTIF(Settings!$B$48:$B$53,"&lt;="&amp;A25)</f>
        <v>9</v>
      </c>
      <c r="I25" s="9" t="n">
        <f aca="false">COUNTIF(Settings!$B$83:$B$91,"&lt;="&amp;A25)</f>
        <v>5</v>
      </c>
      <c r="J25" s="9" t="n">
        <f aca="false">COUNTIF(Dishes!$J$5:$J$29,A25)</f>
        <v>0</v>
      </c>
      <c r="K25" s="9" t="n">
        <f aca="false">COUNTIF(Furniture!$F$5:$F$42,A25)</f>
        <v>0</v>
      </c>
      <c r="L25" s="9" t="n">
        <f aca="false">COUNTIF(Expansions!$E$5:$E$15,A25)</f>
        <v>0</v>
      </c>
      <c r="M25" s="32" t="n">
        <f aca="false">ROUNDUP(B25/(Settings!$B$25+Settings!$B$26),0)</f>
        <v>168</v>
      </c>
      <c r="N25" s="9" t="str">
        <f aca="false">IF(A25&lt;=Settings!$B$102,"Yes","No")</f>
        <v>No</v>
      </c>
    </row>
    <row r="26" customFormat="false" ht="15" hidden="false" customHeight="false" outlineLevel="0" collapsed="false">
      <c r="A26" s="2" t="n">
        <v>22</v>
      </c>
      <c r="B26" s="32" t="n">
        <f aca="false">Settings!$B$11+Settings!$B$12*A26</f>
        <v>1400</v>
      </c>
      <c r="C26" s="33" t="n">
        <f aca="false">C25+B25</f>
        <v>15540</v>
      </c>
      <c r="D26" s="32" t="n">
        <f aca="false">Settings!$B$14</f>
        <v>100</v>
      </c>
      <c r="E26" s="9" t="n">
        <f aca="false">Settings!$B$16+(A26&gt;=Settings!$B$17)</f>
        <v>4</v>
      </c>
      <c r="F26" s="9" t="n">
        <f aca="false">Settings!$B$18+(A26&gt;=Settings!$B$19)+(A26&gt;=Settings!$B$20)</f>
        <v>3</v>
      </c>
      <c r="G26" s="2" t="n">
        <f aca="false">E26*F26</f>
        <v>12</v>
      </c>
      <c r="H26" s="9" t="n">
        <f aca="false">Settings!$B$47+COUNTIF(Settings!$B$48:$B$53,"&lt;="&amp;A26)</f>
        <v>9</v>
      </c>
      <c r="I26" s="9" t="n">
        <f aca="false">COUNTIF(Settings!$B$83:$B$91,"&lt;="&amp;A26)</f>
        <v>6</v>
      </c>
      <c r="J26" s="9" t="n">
        <f aca="false">COUNTIF(Dishes!$J$5:$J$29,A26)</f>
        <v>0</v>
      </c>
      <c r="K26" s="9" t="n">
        <f aca="false">COUNTIF(Furniture!$F$5:$F$42,A26)</f>
        <v>0</v>
      </c>
      <c r="L26" s="9" t="n">
        <f aca="false">COUNTIF(Expansions!$E$5:$E$15,A26)</f>
        <v>0</v>
      </c>
      <c r="M26" s="32" t="n">
        <f aca="false">ROUNDUP(B26/(Settings!$B$25+Settings!$B$26),0)</f>
        <v>175</v>
      </c>
      <c r="N26" s="9" t="str">
        <f aca="false">IF(A26&lt;=Settings!$B$102,"Yes","No")</f>
        <v>No</v>
      </c>
    </row>
    <row r="27" customFormat="false" ht="15" hidden="false" customHeight="false" outlineLevel="0" collapsed="false">
      <c r="A27" s="2" t="n">
        <v>23</v>
      </c>
      <c r="B27" s="32" t="n">
        <f aca="false">Settings!$B$11+Settings!$B$12*A27</f>
        <v>1460</v>
      </c>
      <c r="C27" s="33" t="n">
        <f aca="false">C26+B26</f>
        <v>16940</v>
      </c>
      <c r="D27" s="32" t="n">
        <f aca="false">Settings!$B$14</f>
        <v>100</v>
      </c>
      <c r="E27" s="9" t="n">
        <f aca="false">Settings!$B$16+(A27&gt;=Settings!$B$17)</f>
        <v>4</v>
      </c>
      <c r="F27" s="9" t="n">
        <f aca="false">Settings!$B$18+(A27&gt;=Settings!$B$19)+(A27&gt;=Settings!$B$20)</f>
        <v>3</v>
      </c>
      <c r="G27" s="2" t="n">
        <f aca="false">E27*F27</f>
        <v>12</v>
      </c>
      <c r="H27" s="9" t="n">
        <f aca="false">Settings!$B$47+COUNTIF(Settings!$B$48:$B$53,"&lt;="&amp;A27)</f>
        <v>9</v>
      </c>
      <c r="I27" s="9" t="n">
        <f aca="false">COUNTIF(Settings!$B$83:$B$91,"&lt;="&amp;A27)</f>
        <v>6</v>
      </c>
      <c r="J27" s="9" t="n">
        <f aca="false">COUNTIF(Dishes!$J$5:$J$29,A27)</f>
        <v>0</v>
      </c>
      <c r="K27" s="9" t="n">
        <f aca="false">COUNTIF(Furniture!$F$5:$F$42,A27)</f>
        <v>0</v>
      </c>
      <c r="L27" s="9" t="n">
        <f aca="false">COUNTIF(Expansions!$E$5:$E$15,A27)</f>
        <v>0</v>
      </c>
      <c r="M27" s="32" t="n">
        <f aca="false">ROUNDUP(B27/(Settings!$B$25+Settings!$B$26),0)</f>
        <v>183</v>
      </c>
      <c r="N27" s="9" t="str">
        <f aca="false">IF(A27&lt;=Settings!$B$102,"Yes","No")</f>
        <v>No</v>
      </c>
    </row>
    <row r="28" customFormat="false" ht="15" hidden="false" customHeight="false" outlineLevel="0" collapsed="false">
      <c r="A28" s="2" t="n">
        <v>24</v>
      </c>
      <c r="B28" s="32" t="n">
        <f aca="false">Settings!$B$11+Settings!$B$12*A28</f>
        <v>1520</v>
      </c>
      <c r="C28" s="33" t="n">
        <f aca="false">C27+B27</f>
        <v>18400</v>
      </c>
      <c r="D28" s="32" t="n">
        <f aca="false">Settings!$B$14</f>
        <v>100</v>
      </c>
      <c r="E28" s="9" t="n">
        <f aca="false">Settings!$B$16+(A28&gt;=Settings!$B$17)</f>
        <v>4</v>
      </c>
      <c r="F28" s="9" t="n">
        <f aca="false">Settings!$B$18+(A28&gt;=Settings!$B$19)+(A28&gt;=Settings!$B$20)</f>
        <v>3</v>
      </c>
      <c r="G28" s="2" t="n">
        <f aca="false">E28*F28</f>
        <v>12</v>
      </c>
      <c r="H28" s="9" t="n">
        <f aca="false">Settings!$B$47+COUNTIF(Settings!$B$48:$B$53,"&lt;="&amp;A28)</f>
        <v>9</v>
      </c>
      <c r="I28" s="9" t="n">
        <f aca="false">COUNTIF(Settings!$B$83:$B$91,"&lt;="&amp;A28)</f>
        <v>6</v>
      </c>
      <c r="J28" s="9" t="n">
        <f aca="false">COUNTIF(Dishes!$J$5:$J$29,A28)</f>
        <v>0</v>
      </c>
      <c r="K28" s="9" t="n">
        <f aca="false">COUNTIF(Furniture!$F$5:$F$42,A28)</f>
        <v>0</v>
      </c>
      <c r="L28" s="9" t="n">
        <f aca="false">COUNTIF(Expansions!$E$5:$E$15,A28)</f>
        <v>0</v>
      </c>
      <c r="M28" s="32" t="n">
        <f aca="false">ROUNDUP(B28/(Settings!$B$25+Settings!$B$26),0)</f>
        <v>190</v>
      </c>
      <c r="N28" s="9" t="str">
        <f aca="false">IF(A28&lt;=Settings!$B$102,"Yes","No")</f>
        <v>No</v>
      </c>
    </row>
    <row r="29" customFormat="false" ht="15" hidden="false" customHeight="false" outlineLevel="0" collapsed="false">
      <c r="A29" s="2" t="n">
        <v>25</v>
      </c>
      <c r="B29" s="32" t="n">
        <f aca="false">Settings!$B$11+Settings!$B$12*A29</f>
        <v>1580</v>
      </c>
      <c r="C29" s="33" t="n">
        <f aca="false">C28+B28</f>
        <v>19920</v>
      </c>
      <c r="D29" s="32" t="n">
        <f aca="false">Settings!$B$14</f>
        <v>100</v>
      </c>
      <c r="E29" s="9" t="n">
        <f aca="false">Settings!$B$16+(A29&gt;=Settings!$B$17)</f>
        <v>4</v>
      </c>
      <c r="F29" s="9" t="n">
        <f aca="false">Settings!$B$18+(A29&gt;=Settings!$B$19)+(A29&gt;=Settings!$B$20)</f>
        <v>3</v>
      </c>
      <c r="G29" s="2" t="n">
        <f aca="false">E29*F29</f>
        <v>12</v>
      </c>
      <c r="H29" s="9" t="n">
        <f aca="false">Settings!$B$47+COUNTIF(Settings!$B$48:$B$53,"&lt;="&amp;A29)</f>
        <v>9</v>
      </c>
      <c r="I29" s="9" t="n">
        <f aca="false">COUNTIF(Settings!$B$83:$B$91,"&lt;="&amp;A29)</f>
        <v>6</v>
      </c>
      <c r="J29" s="9" t="n">
        <f aca="false">COUNTIF(Dishes!$J$5:$J$29,A29)</f>
        <v>0</v>
      </c>
      <c r="K29" s="9" t="n">
        <f aca="false">COUNTIF(Furniture!$F$5:$F$42,A29)</f>
        <v>0</v>
      </c>
      <c r="L29" s="9" t="n">
        <f aca="false">COUNTIF(Expansions!$E$5:$E$15,A29)</f>
        <v>1</v>
      </c>
      <c r="M29" s="32" t="n">
        <f aca="false">ROUNDUP(B29/(Settings!$B$25+Settings!$B$26),0)</f>
        <v>198</v>
      </c>
      <c r="N29" s="9" t="str">
        <f aca="false">IF(A29&lt;=Settings!$B$102,"Yes","No")</f>
        <v>No</v>
      </c>
    </row>
    <row r="30" customFormat="false" ht="15" hidden="false" customHeight="false" outlineLevel="0" collapsed="false">
      <c r="A30" s="2" t="n">
        <v>26</v>
      </c>
      <c r="B30" s="32" t="n">
        <f aca="false">Settings!$B$11+Settings!$B$12*A30</f>
        <v>1640</v>
      </c>
      <c r="C30" s="33" t="n">
        <f aca="false">C29+B29</f>
        <v>21500</v>
      </c>
      <c r="D30" s="32" t="n">
        <f aca="false">Settings!$B$14</f>
        <v>100</v>
      </c>
      <c r="E30" s="9" t="n">
        <f aca="false">Settings!$B$16+(A30&gt;=Settings!$B$17)</f>
        <v>4</v>
      </c>
      <c r="F30" s="9" t="n">
        <f aca="false">Settings!$B$18+(A30&gt;=Settings!$B$19)+(A30&gt;=Settings!$B$20)</f>
        <v>3</v>
      </c>
      <c r="G30" s="2" t="n">
        <f aca="false">E30*F30</f>
        <v>12</v>
      </c>
      <c r="H30" s="9" t="n">
        <f aca="false">Settings!$B$47+COUNTIF(Settings!$B$48:$B$53,"&lt;="&amp;A30)</f>
        <v>9</v>
      </c>
      <c r="I30" s="9" t="n">
        <f aca="false">COUNTIF(Settings!$B$83:$B$91,"&lt;="&amp;A30)</f>
        <v>7</v>
      </c>
      <c r="J30" s="9" t="n">
        <f aca="false">COUNTIF(Dishes!$J$5:$J$29,A30)</f>
        <v>0</v>
      </c>
      <c r="K30" s="9" t="n">
        <f aca="false">COUNTIF(Furniture!$F$5:$F$42,A30)</f>
        <v>0</v>
      </c>
      <c r="L30" s="9" t="n">
        <f aca="false">COUNTIF(Expansions!$E$5:$E$15,A30)</f>
        <v>0</v>
      </c>
      <c r="M30" s="32" t="n">
        <f aca="false">ROUNDUP(B30/(Settings!$B$25+Settings!$B$26),0)</f>
        <v>205</v>
      </c>
      <c r="N30" s="9" t="str">
        <f aca="false">IF(A30&lt;=Settings!$B$102,"Yes","No")</f>
        <v>No</v>
      </c>
    </row>
    <row r="31" customFormat="false" ht="15" hidden="false" customHeight="false" outlineLevel="0" collapsed="false">
      <c r="A31" s="2" t="n">
        <v>27</v>
      </c>
      <c r="B31" s="32" t="n">
        <f aca="false">Settings!$B$11+Settings!$B$12*A31</f>
        <v>1700</v>
      </c>
      <c r="C31" s="33" t="n">
        <f aca="false">C30+B30</f>
        <v>23140</v>
      </c>
      <c r="D31" s="32" t="n">
        <f aca="false">Settings!$B$14</f>
        <v>100</v>
      </c>
      <c r="E31" s="9" t="n">
        <f aca="false">Settings!$B$16+(A31&gt;=Settings!$B$17)</f>
        <v>4</v>
      </c>
      <c r="F31" s="9" t="n">
        <f aca="false">Settings!$B$18+(A31&gt;=Settings!$B$19)+(A31&gt;=Settings!$B$20)</f>
        <v>3</v>
      </c>
      <c r="G31" s="2" t="n">
        <f aca="false">E31*F31</f>
        <v>12</v>
      </c>
      <c r="H31" s="9" t="n">
        <f aca="false">Settings!$B$47+COUNTIF(Settings!$B$48:$B$53,"&lt;="&amp;A31)</f>
        <v>9</v>
      </c>
      <c r="I31" s="9" t="n">
        <f aca="false">COUNTIF(Settings!$B$83:$B$91,"&lt;="&amp;A31)</f>
        <v>7</v>
      </c>
      <c r="J31" s="9" t="n">
        <f aca="false">COUNTIF(Dishes!$J$5:$J$29,A31)</f>
        <v>0</v>
      </c>
      <c r="K31" s="9" t="n">
        <f aca="false">COUNTIF(Furniture!$F$5:$F$42,A31)</f>
        <v>0</v>
      </c>
      <c r="L31" s="9" t="n">
        <f aca="false">COUNTIF(Expansions!$E$5:$E$15,A31)</f>
        <v>0</v>
      </c>
      <c r="M31" s="32" t="n">
        <f aca="false">ROUNDUP(B31/(Settings!$B$25+Settings!$B$26),0)</f>
        <v>213</v>
      </c>
      <c r="N31" s="9" t="str">
        <f aca="false">IF(A31&lt;=Settings!$B$102,"Yes","No")</f>
        <v>No</v>
      </c>
    </row>
    <row r="32" customFormat="false" ht="15" hidden="false" customHeight="false" outlineLevel="0" collapsed="false">
      <c r="A32" s="2" t="n">
        <v>28</v>
      </c>
      <c r="B32" s="32" t="n">
        <f aca="false">Settings!$B$11+Settings!$B$12*A32</f>
        <v>1760</v>
      </c>
      <c r="C32" s="33" t="n">
        <f aca="false">C31+B31</f>
        <v>24840</v>
      </c>
      <c r="D32" s="32" t="n">
        <f aca="false">Settings!$B$14</f>
        <v>100</v>
      </c>
      <c r="E32" s="9" t="n">
        <f aca="false">Settings!$B$16+(A32&gt;=Settings!$B$17)</f>
        <v>4</v>
      </c>
      <c r="F32" s="9" t="n">
        <f aca="false">Settings!$B$18+(A32&gt;=Settings!$B$19)+(A32&gt;=Settings!$B$20)</f>
        <v>3</v>
      </c>
      <c r="G32" s="2" t="n">
        <f aca="false">E32*F32</f>
        <v>12</v>
      </c>
      <c r="H32" s="9" t="n">
        <f aca="false">Settings!$B$47+COUNTIF(Settings!$B$48:$B$53,"&lt;="&amp;A32)</f>
        <v>9</v>
      </c>
      <c r="I32" s="9" t="n">
        <f aca="false">COUNTIF(Settings!$B$83:$B$91,"&lt;="&amp;A32)</f>
        <v>7</v>
      </c>
      <c r="J32" s="9" t="n">
        <f aca="false">COUNTIF(Dishes!$J$5:$J$29,A32)</f>
        <v>0</v>
      </c>
      <c r="K32" s="9" t="n">
        <f aca="false">COUNTIF(Furniture!$F$5:$F$42,A32)</f>
        <v>0</v>
      </c>
      <c r="L32" s="9" t="n">
        <f aca="false">COUNTIF(Expansions!$E$5:$E$15,A32)</f>
        <v>0</v>
      </c>
      <c r="M32" s="32" t="n">
        <f aca="false">ROUNDUP(B32/(Settings!$B$25+Settings!$B$26),0)</f>
        <v>220</v>
      </c>
      <c r="N32" s="9" t="str">
        <f aca="false">IF(A32&lt;=Settings!$B$102,"Yes","No")</f>
        <v>No</v>
      </c>
    </row>
    <row r="33" customFormat="false" ht="15" hidden="false" customHeight="false" outlineLevel="0" collapsed="false">
      <c r="A33" s="2" t="n">
        <v>29</v>
      </c>
      <c r="B33" s="32" t="n">
        <f aca="false">Settings!$B$11+Settings!$B$12*A33</f>
        <v>1820</v>
      </c>
      <c r="C33" s="33" t="n">
        <f aca="false">C32+B32</f>
        <v>26600</v>
      </c>
      <c r="D33" s="32" t="n">
        <f aca="false">Settings!$B$14</f>
        <v>100</v>
      </c>
      <c r="E33" s="9" t="n">
        <f aca="false">Settings!$B$16+(A33&gt;=Settings!$B$17)</f>
        <v>4</v>
      </c>
      <c r="F33" s="9" t="n">
        <f aca="false">Settings!$B$18+(A33&gt;=Settings!$B$19)+(A33&gt;=Settings!$B$20)</f>
        <v>3</v>
      </c>
      <c r="G33" s="2" t="n">
        <f aca="false">E33*F33</f>
        <v>12</v>
      </c>
      <c r="H33" s="9" t="n">
        <f aca="false">Settings!$B$47+COUNTIF(Settings!$B$48:$B$53,"&lt;="&amp;A33)</f>
        <v>9</v>
      </c>
      <c r="I33" s="9" t="n">
        <f aca="false">COUNTIF(Settings!$B$83:$B$91,"&lt;="&amp;A33)</f>
        <v>7</v>
      </c>
      <c r="J33" s="9" t="n">
        <f aca="false">COUNTIF(Dishes!$J$5:$J$29,A33)</f>
        <v>0</v>
      </c>
      <c r="K33" s="9" t="n">
        <f aca="false">COUNTIF(Furniture!$F$5:$F$42,A33)</f>
        <v>0</v>
      </c>
      <c r="L33" s="9" t="n">
        <f aca="false">COUNTIF(Expansions!$E$5:$E$15,A33)</f>
        <v>0</v>
      </c>
      <c r="M33" s="32" t="n">
        <f aca="false">ROUNDUP(B33/(Settings!$B$25+Settings!$B$26),0)</f>
        <v>228</v>
      </c>
      <c r="N33" s="9" t="str">
        <f aca="false">IF(A33&lt;=Settings!$B$102,"Yes","No")</f>
        <v>No</v>
      </c>
    </row>
    <row r="34" customFormat="false" ht="15" hidden="false" customHeight="false" outlineLevel="0" collapsed="false">
      <c r="A34" s="2" t="n">
        <v>30</v>
      </c>
      <c r="B34" s="32" t="n">
        <f aca="false">Settings!$B$11+Settings!$B$12*A34</f>
        <v>1880</v>
      </c>
      <c r="C34" s="33" t="n">
        <f aca="false">C33+B33</f>
        <v>28420</v>
      </c>
      <c r="D34" s="32" t="n">
        <f aca="false">Settings!$B$14</f>
        <v>100</v>
      </c>
      <c r="E34" s="9" t="n">
        <f aca="false">Settings!$B$16+(A34&gt;=Settings!$B$17)</f>
        <v>4</v>
      </c>
      <c r="F34" s="9" t="n">
        <f aca="false">Settings!$B$18+(A34&gt;=Settings!$B$19)+(A34&gt;=Settings!$B$20)</f>
        <v>3</v>
      </c>
      <c r="G34" s="2" t="n">
        <f aca="false">E34*F34</f>
        <v>12</v>
      </c>
      <c r="H34" s="9" t="n">
        <f aca="false">Settings!$B$47+COUNTIF(Settings!$B$48:$B$53,"&lt;="&amp;A34)</f>
        <v>9</v>
      </c>
      <c r="I34" s="9" t="n">
        <f aca="false">COUNTIF(Settings!$B$83:$B$91,"&lt;="&amp;A34)</f>
        <v>8</v>
      </c>
      <c r="J34" s="9" t="n">
        <f aca="false">COUNTIF(Dishes!$J$5:$J$29,A34)</f>
        <v>0</v>
      </c>
      <c r="K34" s="9" t="n">
        <f aca="false">COUNTIF(Furniture!$F$5:$F$42,A34)</f>
        <v>0</v>
      </c>
      <c r="L34" s="9" t="n">
        <f aca="false">COUNTIF(Expansions!$E$5:$E$15,A34)</f>
        <v>2</v>
      </c>
      <c r="M34" s="32" t="n">
        <f aca="false">ROUNDUP(B34/(Settings!$B$25+Settings!$B$26),0)</f>
        <v>235</v>
      </c>
      <c r="N34" s="9" t="str">
        <f aca="false">IF(A34&lt;=Settings!$B$102,"Yes","No")</f>
        <v>No</v>
      </c>
    </row>
    <row r="35" customFormat="false" ht="15" hidden="false" customHeight="false" outlineLevel="0" collapsed="false">
      <c r="A35" s="2" t="n">
        <v>31</v>
      </c>
      <c r="B35" s="32" t="n">
        <f aca="false">Settings!$B$11+Settings!$B$12*A35</f>
        <v>1940</v>
      </c>
      <c r="C35" s="33" t="n">
        <f aca="false">C34+B34</f>
        <v>30300</v>
      </c>
      <c r="D35" s="32" t="n">
        <f aca="false">Settings!$B$14</f>
        <v>100</v>
      </c>
      <c r="E35" s="9" t="n">
        <f aca="false">Settings!$B$16+(A35&gt;=Settings!$B$17)</f>
        <v>4</v>
      </c>
      <c r="F35" s="9" t="n">
        <f aca="false">Settings!$B$18+(A35&gt;=Settings!$B$19)+(A35&gt;=Settings!$B$20)</f>
        <v>3</v>
      </c>
      <c r="G35" s="2" t="n">
        <f aca="false">E35*F35</f>
        <v>12</v>
      </c>
      <c r="H35" s="9" t="n">
        <f aca="false">Settings!$B$47+COUNTIF(Settings!$B$48:$B$53,"&lt;="&amp;A35)</f>
        <v>9</v>
      </c>
      <c r="I35" s="9" t="n">
        <f aca="false">COUNTIF(Settings!$B$83:$B$91,"&lt;="&amp;A35)</f>
        <v>8</v>
      </c>
      <c r="J35" s="9" t="n">
        <f aca="false">COUNTIF(Dishes!$J$5:$J$29,A35)</f>
        <v>0</v>
      </c>
      <c r="K35" s="9" t="n">
        <f aca="false">COUNTIF(Furniture!$F$5:$F$42,A35)</f>
        <v>0</v>
      </c>
      <c r="L35" s="9" t="n">
        <f aca="false">COUNTIF(Expansions!$E$5:$E$15,A35)</f>
        <v>0</v>
      </c>
      <c r="M35" s="32" t="n">
        <f aca="false">ROUNDUP(B35/(Settings!$B$25+Settings!$B$26),0)</f>
        <v>243</v>
      </c>
      <c r="N35" s="9" t="str">
        <f aca="false">IF(A35&lt;=Settings!$B$102,"Yes","No")</f>
        <v>No</v>
      </c>
    </row>
    <row r="36" customFormat="false" ht="15" hidden="false" customHeight="false" outlineLevel="0" collapsed="false">
      <c r="A36" s="2" t="n">
        <v>32</v>
      </c>
      <c r="B36" s="32" t="n">
        <f aca="false">Settings!$B$11+Settings!$B$12*A36</f>
        <v>2000</v>
      </c>
      <c r="C36" s="33" t="n">
        <f aca="false">C35+B35</f>
        <v>32240</v>
      </c>
      <c r="D36" s="32" t="n">
        <f aca="false">Settings!$B$14</f>
        <v>100</v>
      </c>
      <c r="E36" s="9" t="n">
        <f aca="false">Settings!$B$16+(A36&gt;=Settings!$B$17)</f>
        <v>4</v>
      </c>
      <c r="F36" s="9" t="n">
        <f aca="false">Settings!$B$18+(A36&gt;=Settings!$B$19)+(A36&gt;=Settings!$B$20)</f>
        <v>3</v>
      </c>
      <c r="G36" s="2" t="n">
        <f aca="false">E36*F36</f>
        <v>12</v>
      </c>
      <c r="H36" s="9" t="n">
        <f aca="false">Settings!$B$47+COUNTIF(Settings!$B$48:$B$53,"&lt;="&amp;A36)</f>
        <v>9</v>
      </c>
      <c r="I36" s="9" t="n">
        <f aca="false">COUNTIF(Settings!$B$83:$B$91,"&lt;="&amp;A36)</f>
        <v>8</v>
      </c>
      <c r="J36" s="9" t="n">
        <f aca="false">COUNTIF(Dishes!$J$5:$J$29,A36)</f>
        <v>0</v>
      </c>
      <c r="K36" s="9" t="n">
        <f aca="false">COUNTIF(Furniture!$F$5:$F$42,A36)</f>
        <v>0</v>
      </c>
      <c r="L36" s="9" t="n">
        <f aca="false">COUNTIF(Expansions!$E$5:$E$15,A36)</f>
        <v>0</v>
      </c>
      <c r="M36" s="32" t="n">
        <f aca="false">ROUNDUP(B36/(Settings!$B$25+Settings!$B$26),0)</f>
        <v>250</v>
      </c>
      <c r="N36" s="9" t="str">
        <f aca="false">IF(A36&lt;=Settings!$B$102,"Yes","No")</f>
        <v>No</v>
      </c>
    </row>
    <row r="37" customFormat="false" ht="15" hidden="false" customHeight="false" outlineLevel="0" collapsed="false">
      <c r="A37" s="2" t="n">
        <v>33</v>
      </c>
      <c r="B37" s="32" t="n">
        <f aca="false">Settings!$B$11+Settings!$B$12*A37</f>
        <v>2060</v>
      </c>
      <c r="C37" s="33" t="n">
        <f aca="false">C36+B36</f>
        <v>34240</v>
      </c>
      <c r="D37" s="32" t="n">
        <f aca="false">Settings!$B$14</f>
        <v>100</v>
      </c>
      <c r="E37" s="9" t="n">
        <f aca="false">Settings!$B$16+(A37&gt;=Settings!$B$17)</f>
        <v>4</v>
      </c>
      <c r="F37" s="9" t="n">
        <f aca="false">Settings!$B$18+(A37&gt;=Settings!$B$19)+(A37&gt;=Settings!$B$20)</f>
        <v>3</v>
      </c>
      <c r="G37" s="2" t="n">
        <f aca="false">E37*F37</f>
        <v>12</v>
      </c>
      <c r="H37" s="9" t="n">
        <f aca="false">Settings!$B$47+COUNTIF(Settings!$B$48:$B$53,"&lt;="&amp;A37)</f>
        <v>9</v>
      </c>
      <c r="I37" s="9" t="n">
        <f aca="false">COUNTIF(Settings!$B$83:$B$91,"&lt;="&amp;A37)</f>
        <v>8</v>
      </c>
      <c r="J37" s="9" t="n">
        <f aca="false">COUNTIF(Dishes!$J$5:$J$29,A37)</f>
        <v>0</v>
      </c>
      <c r="K37" s="9" t="n">
        <f aca="false">COUNTIF(Furniture!$F$5:$F$42,A37)</f>
        <v>0</v>
      </c>
      <c r="L37" s="9" t="n">
        <f aca="false">COUNTIF(Expansions!$E$5:$E$15,A37)</f>
        <v>0</v>
      </c>
      <c r="M37" s="32" t="n">
        <f aca="false">ROUNDUP(B37/(Settings!$B$25+Settings!$B$26),0)</f>
        <v>258</v>
      </c>
      <c r="N37" s="9" t="str">
        <f aca="false">IF(A37&lt;=Settings!$B$102,"Yes","No")</f>
        <v>No</v>
      </c>
    </row>
    <row r="38" customFormat="false" ht="15" hidden="false" customHeight="false" outlineLevel="0" collapsed="false">
      <c r="A38" s="2" t="n">
        <v>34</v>
      </c>
      <c r="B38" s="32" t="n">
        <f aca="false">Settings!$B$11+Settings!$B$12*A38</f>
        <v>2120</v>
      </c>
      <c r="C38" s="33" t="n">
        <f aca="false">C37+B37</f>
        <v>36300</v>
      </c>
      <c r="D38" s="32" t="n">
        <f aca="false">Settings!$B$14</f>
        <v>100</v>
      </c>
      <c r="E38" s="9" t="n">
        <f aca="false">Settings!$B$16+(A38&gt;=Settings!$B$17)</f>
        <v>4</v>
      </c>
      <c r="F38" s="9" t="n">
        <f aca="false">Settings!$B$18+(A38&gt;=Settings!$B$19)+(A38&gt;=Settings!$B$20)</f>
        <v>3</v>
      </c>
      <c r="G38" s="2" t="n">
        <f aca="false">E38*F38</f>
        <v>12</v>
      </c>
      <c r="H38" s="9" t="n">
        <f aca="false">Settings!$B$47+COUNTIF(Settings!$B$48:$B$53,"&lt;="&amp;A38)</f>
        <v>9</v>
      </c>
      <c r="I38" s="9" t="n">
        <f aca="false">COUNTIF(Settings!$B$83:$B$91,"&lt;="&amp;A38)</f>
        <v>9</v>
      </c>
      <c r="J38" s="9" t="n">
        <f aca="false">COUNTIF(Dishes!$J$5:$J$29,A38)</f>
        <v>0</v>
      </c>
      <c r="K38" s="9" t="n">
        <f aca="false">COUNTIF(Furniture!$F$5:$F$42,A38)</f>
        <v>0</v>
      </c>
      <c r="L38" s="9" t="n">
        <f aca="false">COUNTIF(Expansions!$E$5:$E$15,A38)</f>
        <v>0</v>
      </c>
      <c r="M38" s="32" t="n">
        <f aca="false">ROUNDUP(B38/(Settings!$B$25+Settings!$B$26),0)</f>
        <v>265</v>
      </c>
      <c r="N38" s="9" t="str">
        <f aca="false">IF(A38&lt;=Settings!$B$102,"Yes","No")</f>
        <v>No</v>
      </c>
    </row>
    <row r="39" customFormat="false" ht="15" hidden="false" customHeight="false" outlineLevel="0" collapsed="false">
      <c r="A39" s="2" t="n">
        <v>35</v>
      </c>
      <c r="B39" s="32" t="n">
        <f aca="false">Settings!$B$11+Settings!$B$12*A39</f>
        <v>2180</v>
      </c>
      <c r="C39" s="33" t="n">
        <f aca="false">C38+B38</f>
        <v>38420</v>
      </c>
      <c r="D39" s="32" t="n">
        <f aca="false">Settings!$B$14</f>
        <v>100</v>
      </c>
      <c r="E39" s="9" t="n">
        <f aca="false">Settings!$B$16+(A39&gt;=Settings!$B$17)</f>
        <v>4</v>
      </c>
      <c r="F39" s="9" t="n">
        <f aca="false">Settings!$B$18+(A39&gt;=Settings!$B$19)+(A39&gt;=Settings!$B$20)</f>
        <v>3</v>
      </c>
      <c r="G39" s="2" t="n">
        <f aca="false">E39*F39</f>
        <v>12</v>
      </c>
      <c r="H39" s="9" t="n">
        <f aca="false">Settings!$B$47+COUNTIF(Settings!$B$48:$B$53,"&lt;="&amp;A39)</f>
        <v>9</v>
      </c>
      <c r="I39" s="9" t="n">
        <f aca="false">COUNTIF(Settings!$B$83:$B$91,"&lt;="&amp;A39)</f>
        <v>9</v>
      </c>
      <c r="J39" s="9" t="n">
        <f aca="false">COUNTIF(Dishes!$J$5:$J$29,A39)</f>
        <v>0</v>
      </c>
      <c r="K39" s="9" t="n">
        <f aca="false">COUNTIF(Furniture!$F$5:$F$42,A39)</f>
        <v>0</v>
      </c>
      <c r="L39" s="9" t="n">
        <f aca="false">COUNTIF(Expansions!$E$5:$E$15,A39)</f>
        <v>1</v>
      </c>
      <c r="M39" s="32" t="n">
        <f aca="false">ROUNDUP(B39/(Settings!$B$25+Settings!$B$26),0)</f>
        <v>273</v>
      </c>
      <c r="N39" s="9" t="str">
        <f aca="false">IF(A39&lt;=Settings!$B$102,"Yes","No")</f>
        <v>No</v>
      </c>
    </row>
    <row r="40" customFormat="false" ht="15" hidden="false" customHeight="false" outlineLevel="0" collapsed="false">
      <c r="A40" s="2" t="n">
        <v>36</v>
      </c>
      <c r="B40" s="32" t="n">
        <f aca="false">Settings!$B$11+Settings!$B$12*A40</f>
        <v>2240</v>
      </c>
      <c r="C40" s="33" t="n">
        <f aca="false">C39+B39</f>
        <v>40600</v>
      </c>
      <c r="D40" s="32" t="n">
        <f aca="false">Settings!$B$14</f>
        <v>100</v>
      </c>
      <c r="E40" s="9" t="n">
        <f aca="false">Settings!$B$16+(A40&gt;=Settings!$B$17)</f>
        <v>4</v>
      </c>
      <c r="F40" s="9" t="n">
        <f aca="false">Settings!$B$18+(A40&gt;=Settings!$B$19)+(A40&gt;=Settings!$B$20)</f>
        <v>3</v>
      </c>
      <c r="G40" s="2" t="n">
        <f aca="false">E40*F40</f>
        <v>12</v>
      </c>
      <c r="H40" s="9" t="n">
        <f aca="false">Settings!$B$47+COUNTIF(Settings!$B$48:$B$53,"&lt;="&amp;A40)</f>
        <v>9</v>
      </c>
      <c r="I40" s="9" t="n">
        <f aca="false">COUNTIF(Settings!$B$83:$B$91,"&lt;="&amp;A40)</f>
        <v>9</v>
      </c>
      <c r="J40" s="9" t="n">
        <f aca="false">COUNTIF(Dishes!$J$5:$J$29,A40)</f>
        <v>0</v>
      </c>
      <c r="K40" s="9" t="n">
        <f aca="false">COUNTIF(Furniture!$F$5:$F$42,A40)</f>
        <v>0</v>
      </c>
      <c r="L40" s="9" t="n">
        <f aca="false">COUNTIF(Expansions!$E$5:$E$15,A40)</f>
        <v>0</v>
      </c>
      <c r="M40" s="32" t="n">
        <f aca="false">ROUNDUP(B40/(Settings!$B$25+Settings!$B$26),0)</f>
        <v>280</v>
      </c>
      <c r="N40" s="9" t="str">
        <f aca="false">IF(A40&lt;=Settings!$B$102,"Yes","No")</f>
        <v>No</v>
      </c>
    </row>
    <row r="41" customFormat="false" ht="15" hidden="false" customHeight="false" outlineLevel="0" collapsed="false">
      <c r="A41" s="2" t="n">
        <v>37</v>
      </c>
      <c r="B41" s="32" t="n">
        <f aca="false">Settings!$B$11+Settings!$B$12*A41</f>
        <v>2300</v>
      </c>
      <c r="C41" s="33" t="n">
        <f aca="false">C40+B40</f>
        <v>42840</v>
      </c>
      <c r="D41" s="32" t="n">
        <f aca="false">Settings!$B$14</f>
        <v>100</v>
      </c>
      <c r="E41" s="9" t="n">
        <f aca="false">Settings!$B$16+(A41&gt;=Settings!$B$17)</f>
        <v>4</v>
      </c>
      <c r="F41" s="9" t="n">
        <f aca="false">Settings!$B$18+(A41&gt;=Settings!$B$19)+(A41&gt;=Settings!$B$20)</f>
        <v>3</v>
      </c>
      <c r="G41" s="2" t="n">
        <f aca="false">E41*F41</f>
        <v>12</v>
      </c>
      <c r="H41" s="9" t="n">
        <f aca="false">Settings!$B$47+COUNTIF(Settings!$B$48:$B$53,"&lt;="&amp;A41)</f>
        <v>9</v>
      </c>
      <c r="I41" s="9" t="n">
        <f aca="false">COUNTIF(Settings!$B$83:$B$91,"&lt;="&amp;A41)</f>
        <v>9</v>
      </c>
      <c r="J41" s="9" t="n">
        <f aca="false">COUNTIF(Dishes!$J$5:$J$29,A41)</f>
        <v>0</v>
      </c>
      <c r="K41" s="9" t="n">
        <f aca="false">COUNTIF(Furniture!$F$5:$F$42,A41)</f>
        <v>0</v>
      </c>
      <c r="L41" s="9" t="n">
        <f aca="false">COUNTIF(Expansions!$E$5:$E$15,A41)</f>
        <v>0</v>
      </c>
      <c r="M41" s="32" t="n">
        <f aca="false">ROUNDUP(B41/(Settings!$B$25+Settings!$B$26),0)</f>
        <v>288</v>
      </c>
      <c r="N41" s="9" t="str">
        <f aca="false">IF(A41&lt;=Settings!$B$102,"Yes","No")</f>
        <v>No</v>
      </c>
    </row>
    <row r="42" customFormat="false" ht="15" hidden="false" customHeight="false" outlineLevel="0" collapsed="false">
      <c r="A42" s="2" t="n">
        <v>38</v>
      </c>
      <c r="B42" s="32" t="n">
        <f aca="false">Settings!$B$11+Settings!$B$12*A42</f>
        <v>2360</v>
      </c>
      <c r="C42" s="33" t="n">
        <f aca="false">C41+B41</f>
        <v>45140</v>
      </c>
      <c r="D42" s="32" t="n">
        <f aca="false">Settings!$B$14</f>
        <v>100</v>
      </c>
      <c r="E42" s="9" t="n">
        <f aca="false">Settings!$B$16+(A42&gt;=Settings!$B$17)</f>
        <v>4</v>
      </c>
      <c r="F42" s="9" t="n">
        <f aca="false">Settings!$B$18+(A42&gt;=Settings!$B$19)+(A42&gt;=Settings!$B$20)</f>
        <v>3</v>
      </c>
      <c r="G42" s="2" t="n">
        <f aca="false">E42*F42</f>
        <v>12</v>
      </c>
      <c r="H42" s="9" t="n">
        <f aca="false">Settings!$B$47+COUNTIF(Settings!$B$48:$B$53,"&lt;="&amp;A42)</f>
        <v>9</v>
      </c>
      <c r="I42" s="9" t="n">
        <f aca="false">COUNTIF(Settings!$B$83:$B$91,"&lt;="&amp;A42)</f>
        <v>9</v>
      </c>
      <c r="J42" s="9" t="n">
        <f aca="false">COUNTIF(Dishes!$J$5:$J$29,A42)</f>
        <v>0</v>
      </c>
      <c r="K42" s="9" t="n">
        <f aca="false">COUNTIF(Furniture!$F$5:$F$42,A42)</f>
        <v>0</v>
      </c>
      <c r="L42" s="9" t="n">
        <f aca="false">COUNTIF(Expansions!$E$5:$E$15,A42)</f>
        <v>0</v>
      </c>
      <c r="M42" s="32" t="n">
        <f aca="false">ROUNDUP(B42/(Settings!$B$25+Settings!$B$26),0)</f>
        <v>295</v>
      </c>
      <c r="N42" s="9" t="str">
        <f aca="false">IF(A42&lt;=Settings!$B$102,"Yes","No")</f>
        <v>No</v>
      </c>
    </row>
    <row r="43" customFormat="false" ht="15" hidden="false" customHeight="false" outlineLevel="0" collapsed="false">
      <c r="A43" s="2" t="n">
        <v>39</v>
      </c>
      <c r="B43" s="32" t="n">
        <f aca="false">Settings!$B$11+Settings!$B$12*A43</f>
        <v>2420</v>
      </c>
      <c r="C43" s="33" t="n">
        <f aca="false">C42+B42</f>
        <v>47500</v>
      </c>
      <c r="D43" s="32" t="n">
        <f aca="false">Settings!$B$14</f>
        <v>100</v>
      </c>
      <c r="E43" s="9" t="n">
        <f aca="false">Settings!$B$16+(A43&gt;=Settings!$B$17)</f>
        <v>4</v>
      </c>
      <c r="F43" s="9" t="n">
        <f aca="false">Settings!$B$18+(A43&gt;=Settings!$B$19)+(A43&gt;=Settings!$B$20)</f>
        <v>3</v>
      </c>
      <c r="G43" s="2" t="n">
        <f aca="false">E43*F43</f>
        <v>12</v>
      </c>
      <c r="H43" s="9" t="n">
        <f aca="false">Settings!$B$47+COUNTIF(Settings!$B$48:$B$53,"&lt;="&amp;A43)</f>
        <v>9</v>
      </c>
      <c r="I43" s="9" t="n">
        <f aca="false">COUNTIF(Settings!$B$83:$B$91,"&lt;="&amp;A43)</f>
        <v>9</v>
      </c>
      <c r="J43" s="9" t="n">
        <f aca="false">COUNTIF(Dishes!$J$5:$J$29,A43)</f>
        <v>0</v>
      </c>
      <c r="K43" s="9" t="n">
        <f aca="false">COUNTIF(Furniture!$F$5:$F$42,A43)</f>
        <v>0</v>
      </c>
      <c r="L43" s="9" t="n">
        <f aca="false">COUNTIF(Expansions!$E$5:$E$15,A43)</f>
        <v>0</v>
      </c>
      <c r="M43" s="32" t="n">
        <f aca="false">ROUNDUP(B43/(Settings!$B$25+Settings!$B$26),0)</f>
        <v>303</v>
      </c>
      <c r="N43" s="9" t="str">
        <f aca="false">IF(A43&lt;=Settings!$B$102,"Yes","No")</f>
        <v>No</v>
      </c>
    </row>
    <row r="44" customFormat="false" ht="15" hidden="false" customHeight="false" outlineLevel="0" collapsed="false">
      <c r="A44" s="2" t="n">
        <v>40</v>
      </c>
      <c r="B44" s="32" t="n">
        <f aca="false">Settings!$B$11+Settings!$B$12*A44</f>
        <v>2480</v>
      </c>
      <c r="C44" s="33" t="n">
        <f aca="false">C43+B43</f>
        <v>49920</v>
      </c>
      <c r="D44" s="32" t="n">
        <f aca="false">Settings!$B$14</f>
        <v>100</v>
      </c>
      <c r="E44" s="9" t="n">
        <f aca="false">Settings!$B$16+(A44&gt;=Settings!$B$17)</f>
        <v>4</v>
      </c>
      <c r="F44" s="9" t="n">
        <f aca="false">Settings!$B$18+(A44&gt;=Settings!$B$19)+(A44&gt;=Settings!$B$20)</f>
        <v>3</v>
      </c>
      <c r="G44" s="2" t="n">
        <f aca="false">E44*F44</f>
        <v>12</v>
      </c>
      <c r="H44" s="9" t="n">
        <f aca="false">Settings!$B$47+COUNTIF(Settings!$B$48:$B$53,"&lt;="&amp;A44)</f>
        <v>9</v>
      </c>
      <c r="I44" s="9" t="n">
        <f aca="false">COUNTIF(Settings!$B$83:$B$91,"&lt;="&amp;A44)</f>
        <v>9</v>
      </c>
      <c r="J44" s="9" t="n">
        <f aca="false">COUNTIF(Dishes!$J$5:$J$29,A44)</f>
        <v>0</v>
      </c>
      <c r="K44" s="9" t="n">
        <f aca="false">COUNTIF(Furniture!$F$5:$F$42,A44)</f>
        <v>0</v>
      </c>
      <c r="L44" s="9" t="n">
        <f aca="false">COUNTIF(Expansions!$E$5:$E$15,A44)</f>
        <v>1</v>
      </c>
      <c r="M44" s="32" t="n">
        <f aca="false">ROUNDUP(B44/(Settings!$B$25+Settings!$B$26),0)</f>
        <v>310</v>
      </c>
      <c r="N44" s="9" t="str">
        <f aca="false">IF(A44&lt;=Settings!$B$102,"Yes","No")</f>
        <v>No</v>
      </c>
    </row>
    <row r="45" customFormat="false" ht="15" hidden="false" customHeight="false" outlineLevel="0" collapsed="false">
      <c r="A45" s="2" t="n">
        <v>41</v>
      </c>
      <c r="B45" s="32" t="n">
        <f aca="false">Settings!$B$11+Settings!$B$12*A45</f>
        <v>2540</v>
      </c>
      <c r="C45" s="33" t="n">
        <f aca="false">C44+B44</f>
        <v>52400</v>
      </c>
      <c r="D45" s="32" t="n">
        <f aca="false">Settings!$B$14</f>
        <v>100</v>
      </c>
      <c r="E45" s="9" t="n">
        <f aca="false">Settings!$B$16+(A45&gt;=Settings!$B$17)</f>
        <v>4</v>
      </c>
      <c r="F45" s="9" t="n">
        <f aca="false">Settings!$B$18+(A45&gt;=Settings!$B$19)+(A45&gt;=Settings!$B$20)</f>
        <v>3</v>
      </c>
      <c r="G45" s="2" t="n">
        <f aca="false">E45*F45</f>
        <v>12</v>
      </c>
      <c r="H45" s="9" t="n">
        <f aca="false">Settings!$B$47+COUNTIF(Settings!$B$48:$B$53,"&lt;="&amp;A45)</f>
        <v>9</v>
      </c>
      <c r="I45" s="9" t="n">
        <f aca="false">COUNTIF(Settings!$B$83:$B$91,"&lt;="&amp;A45)</f>
        <v>9</v>
      </c>
      <c r="J45" s="9" t="n">
        <f aca="false">COUNTIF(Dishes!$J$5:$J$29,A45)</f>
        <v>0</v>
      </c>
      <c r="K45" s="9" t="n">
        <f aca="false">COUNTIF(Furniture!$F$5:$F$42,A45)</f>
        <v>0</v>
      </c>
      <c r="L45" s="9" t="n">
        <f aca="false">COUNTIF(Expansions!$E$5:$E$15,A45)</f>
        <v>0</v>
      </c>
      <c r="M45" s="32" t="n">
        <f aca="false">ROUNDUP(B45/(Settings!$B$25+Settings!$B$26),0)</f>
        <v>318</v>
      </c>
      <c r="N45" s="9" t="str">
        <f aca="false">IF(A45&lt;=Settings!$B$102,"Yes","No")</f>
        <v>No</v>
      </c>
    </row>
    <row r="46" customFormat="false" ht="15" hidden="false" customHeight="false" outlineLevel="0" collapsed="false">
      <c r="A46" s="2" t="n">
        <v>42</v>
      </c>
      <c r="B46" s="32" t="n">
        <f aca="false">Settings!$B$11+Settings!$B$12*A46</f>
        <v>2600</v>
      </c>
      <c r="C46" s="33" t="n">
        <f aca="false">C45+B45</f>
        <v>54940</v>
      </c>
      <c r="D46" s="32" t="n">
        <f aca="false">Settings!$B$14</f>
        <v>100</v>
      </c>
      <c r="E46" s="9" t="n">
        <f aca="false">Settings!$B$16+(A46&gt;=Settings!$B$17)</f>
        <v>4</v>
      </c>
      <c r="F46" s="9" t="n">
        <f aca="false">Settings!$B$18+(A46&gt;=Settings!$B$19)+(A46&gt;=Settings!$B$20)</f>
        <v>3</v>
      </c>
      <c r="G46" s="2" t="n">
        <f aca="false">E46*F46</f>
        <v>12</v>
      </c>
      <c r="H46" s="9" t="n">
        <f aca="false">Settings!$B$47+COUNTIF(Settings!$B$48:$B$53,"&lt;="&amp;A46)</f>
        <v>9</v>
      </c>
      <c r="I46" s="9" t="n">
        <f aca="false">COUNTIF(Settings!$B$83:$B$91,"&lt;="&amp;A46)</f>
        <v>9</v>
      </c>
      <c r="J46" s="9" t="n">
        <f aca="false">COUNTIF(Dishes!$J$5:$J$29,A46)</f>
        <v>0</v>
      </c>
      <c r="K46" s="9" t="n">
        <f aca="false">COUNTIF(Furniture!$F$5:$F$42,A46)</f>
        <v>0</v>
      </c>
      <c r="L46" s="9" t="n">
        <f aca="false">COUNTIF(Expansions!$E$5:$E$15,A46)</f>
        <v>0</v>
      </c>
      <c r="M46" s="32" t="n">
        <f aca="false">ROUNDUP(B46/(Settings!$B$25+Settings!$B$26),0)</f>
        <v>325</v>
      </c>
      <c r="N46" s="9" t="str">
        <f aca="false">IF(A46&lt;=Settings!$B$102,"Yes","No")</f>
        <v>No</v>
      </c>
    </row>
    <row r="47" customFormat="false" ht="15" hidden="false" customHeight="false" outlineLevel="0" collapsed="false">
      <c r="A47" s="2" t="n">
        <v>43</v>
      </c>
      <c r="B47" s="32" t="n">
        <f aca="false">Settings!$B$11+Settings!$B$12*A47</f>
        <v>2660</v>
      </c>
      <c r="C47" s="33" t="n">
        <f aca="false">C46+B46</f>
        <v>57540</v>
      </c>
      <c r="D47" s="32" t="n">
        <f aca="false">Settings!$B$14</f>
        <v>100</v>
      </c>
      <c r="E47" s="9" t="n">
        <f aca="false">Settings!$B$16+(A47&gt;=Settings!$B$17)</f>
        <v>4</v>
      </c>
      <c r="F47" s="9" t="n">
        <f aca="false">Settings!$B$18+(A47&gt;=Settings!$B$19)+(A47&gt;=Settings!$B$20)</f>
        <v>3</v>
      </c>
      <c r="G47" s="2" t="n">
        <f aca="false">E47*F47</f>
        <v>12</v>
      </c>
      <c r="H47" s="9" t="n">
        <f aca="false">Settings!$B$47+COUNTIF(Settings!$B$48:$B$53,"&lt;="&amp;A47)</f>
        <v>9</v>
      </c>
      <c r="I47" s="9" t="n">
        <f aca="false">COUNTIF(Settings!$B$83:$B$91,"&lt;="&amp;A47)</f>
        <v>9</v>
      </c>
      <c r="J47" s="9" t="n">
        <f aca="false">COUNTIF(Dishes!$J$5:$J$29,A47)</f>
        <v>0</v>
      </c>
      <c r="K47" s="9" t="n">
        <f aca="false">COUNTIF(Furniture!$F$5:$F$42,A47)</f>
        <v>0</v>
      </c>
      <c r="L47" s="9" t="n">
        <f aca="false">COUNTIF(Expansions!$E$5:$E$15,A47)</f>
        <v>0</v>
      </c>
      <c r="M47" s="32" t="n">
        <f aca="false">ROUNDUP(B47/(Settings!$B$25+Settings!$B$26),0)</f>
        <v>333</v>
      </c>
      <c r="N47" s="9" t="str">
        <f aca="false">IF(A47&lt;=Settings!$B$102,"Yes","No")</f>
        <v>No</v>
      </c>
    </row>
    <row r="48" customFormat="false" ht="15" hidden="false" customHeight="false" outlineLevel="0" collapsed="false">
      <c r="A48" s="2" t="n">
        <v>44</v>
      </c>
      <c r="B48" s="32" t="n">
        <f aca="false">Settings!$B$11+Settings!$B$12*A48</f>
        <v>2720</v>
      </c>
      <c r="C48" s="33" t="n">
        <f aca="false">C47+B47</f>
        <v>60200</v>
      </c>
      <c r="D48" s="32" t="n">
        <f aca="false">Settings!$B$14</f>
        <v>100</v>
      </c>
      <c r="E48" s="9" t="n">
        <f aca="false">Settings!$B$16+(A48&gt;=Settings!$B$17)</f>
        <v>4</v>
      </c>
      <c r="F48" s="9" t="n">
        <f aca="false">Settings!$B$18+(A48&gt;=Settings!$B$19)+(A48&gt;=Settings!$B$20)</f>
        <v>3</v>
      </c>
      <c r="G48" s="2" t="n">
        <f aca="false">E48*F48</f>
        <v>12</v>
      </c>
      <c r="H48" s="9" t="n">
        <f aca="false">Settings!$B$47+COUNTIF(Settings!$B$48:$B$53,"&lt;="&amp;A48)</f>
        <v>9</v>
      </c>
      <c r="I48" s="9" t="n">
        <f aca="false">COUNTIF(Settings!$B$83:$B$91,"&lt;="&amp;A48)</f>
        <v>9</v>
      </c>
      <c r="J48" s="9" t="n">
        <f aca="false">COUNTIF(Dishes!$J$5:$J$29,A48)</f>
        <v>0</v>
      </c>
      <c r="K48" s="9" t="n">
        <f aca="false">COUNTIF(Furniture!$F$5:$F$42,A48)</f>
        <v>0</v>
      </c>
      <c r="L48" s="9" t="n">
        <f aca="false">COUNTIF(Expansions!$E$5:$E$15,A48)</f>
        <v>0</v>
      </c>
      <c r="M48" s="32" t="n">
        <f aca="false">ROUNDUP(B48/(Settings!$B$25+Settings!$B$26),0)</f>
        <v>340</v>
      </c>
      <c r="N48" s="9" t="str">
        <f aca="false">IF(A48&lt;=Settings!$B$102,"Yes","No")</f>
        <v>No</v>
      </c>
    </row>
    <row r="49" customFormat="false" ht="15" hidden="false" customHeight="false" outlineLevel="0" collapsed="false">
      <c r="A49" s="2" t="n">
        <v>45</v>
      </c>
      <c r="B49" s="32" t="n">
        <f aca="false">Settings!$B$11+Settings!$B$12*A49</f>
        <v>2780</v>
      </c>
      <c r="C49" s="33" t="n">
        <f aca="false">C48+B48</f>
        <v>62920</v>
      </c>
      <c r="D49" s="32" t="n">
        <f aca="false">Settings!$B$14</f>
        <v>100</v>
      </c>
      <c r="E49" s="9" t="n">
        <f aca="false">Settings!$B$16+(A49&gt;=Settings!$B$17)</f>
        <v>4</v>
      </c>
      <c r="F49" s="9" t="n">
        <f aca="false">Settings!$B$18+(A49&gt;=Settings!$B$19)+(A49&gt;=Settings!$B$20)</f>
        <v>3</v>
      </c>
      <c r="G49" s="2" t="n">
        <f aca="false">E49*F49</f>
        <v>12</v>
      </c>
      <c r="H49" s="9" t="n">
        <f aca="false">Settings!$B$47+COUNTIF(Settings!$B$48:$B$53,"&lt;="&amp;A49)</f>
        <v>9</v>
      </c>
      <c r="I49" s="9" t="n">
        <f aca="false">COUNTIF(Settings!$B$83:$B$91,"&lt;="&amp;A49)</f>
        <v>9</v>
      </c>
      <c r="J49" s="9" t="n">
        <f aca="false">COUNTIF(Dishes!$J$5:$J$29,A49)</f>
        <v>0</v>
      </c>
      <c r="K49" s="9" t="n">
        <f aca="false">COUNTIF(Furniture!$F$5:$F$42,A49)</f>
        <v>0</v>
      </c>
      <c r="L49" s="9" t="n">
        <f aca="false">COUNTIF(Expansions!$E$5:$E$15,A49)</f>
        <v>1</v>
      </c>
      <c r="M49" s="32" t="n">
        <f aca="false">ROUNDUP(B49/(Settings!$B$25+Settings!$B$26),0)</f>
        <v>348</v>
      </c>
      <c r="N49" s="9" t="str">
        <f aca="false">IF(A49&lt;=Settings!$B$102,"Yes","No")</f>
        <v>No</v>
      </c>
    </row>
    <row r="50" customFormat="false" ht="15" hidden="false" customHeight="false" outlineLevel="0" collapsed="false">
      <c r="A50" s="2" t="n">
        <v>46</v>
      </c>
      <c r="B50" s="32" t="n">
        <f aca="false">Settings!$B$11+Settings!$B$12*A50</f>
        <v>2840</v>
      </c>
      <c r="C50" s="33" t="n">
        <f aca="false">C49+B49</f>
        <v>65700</v>
      </c>
      <c r="D50" s="32" t="n">
        <f aca="false">Settings!$B$14</f>
        <v>100</v>
      </c>
      <c r="E50" s="9" t="n">
        <f aca="false">Settings!$B$16+(A50&gt;=Settings!$B$17)</f>
        <v>4</v>
      </c>
      <c r="F50" s="9" t="n">
        <f aca="false">Settings!$B$18+(A50&gt;=Settings!$B$19)+(A50&gt;=Settings!$B$20)</f>
        <v>3</v>
      </c>
      <c r="G50" s="2" t="n">
        <f aca="false">E50*F50</f>
        <v>12</v>
      </c>
      <c r="H50" s="9" t="n">
        <f aca="false">Settings!$B$47+COUNTIF(Settings!$B$48:$B$53,"&lt;="&amp;A50)</f>
        <v>9</v>
      </c>
      <c r="I50" s="9" t="n">
        <f aca="false">COUNTIF(Settings!$B$83:$B$91,"&lt;="&amp;A50)</f>
        <v>9</v>
      </c>
      <c r="J50" s="9" t="n">
        <f aca="false">COUNTIF(Dishes!$J$5:$J$29,A50)</f>
        <v>0</v>
      </c>
      <c r="K50" s="9" t="n">
        <f aca="false">COUNTIF(Furniture!$F$5:$F$42,A50)</f>
        <v>0</v>
      </c>
      <c r="L50" s="9" t="n">
        <f aca="false">COUNTIF(Expansions!$E$5:$E$15,A50)</f>
        <v>0</v>
      </c>
      <c r="M50" s="32" t="n">
        <f aca="false">ROUNDUP(B50/(Settings!$B$25+Settings!$B$26),0)</f>
        <v>355</v>
      </c>
      <c r="N50" s="9" t="str">
        <f aca="false">IF(A50&lt;=Settings!$B$102,"Yes","No")</f>
        <v>No</v>
      </c>
    </row>
    <row r="51" customFormat="false" ht="15" hidden="false" customHeight="false" outlineLevel="0" collapsed="false">
      <c r="A51" s="2" t="n">
        <v>47</v>
      </c>
      <c r="B51" s="32" t="n">
        <f aca="false">Settings!$B$11+Settings!$B$12*A51</f>
        <v>2900</v>
      </c>
      <c r="C51" s="33" t="n">
        <f aca="false">C50+B50</f>
        <v>68540</v>
      </c>
      <c r="D51" s="32" t="n">
        <f aca="false">Settings!$B$14</f>
        <v>100</v>
      </c>
      <c r="E51" s="9" t="n">
        <f aca="false">Settings!$B$16+(A51&gt;=Settings!$B$17)</f>
        <v>4</v>
      </c>
      <c r="F51" s="9" t="n">
        <f aca="false">Settings!$B$18+(A51&gt;=Settings!$B$19)+(A51&gt;=Settings!$B$20)</f>
        <v>3</v>
      </c>
      <c r="G51" s="2" t="n">
        <f aca="false">E51*F51</f>
        <v>12</v>
      </c>
      <c r="H51" s="9" t="n">
        <f aca="false">Settings!$B$47+COUNTIF(Settings!$B$48:$B$53,"&lt;="&amp;A51)</f>
        <v>9</v>
      </c>
      <c r="I51" s="9" t="n">
        <f aca="false">COUNTIF(Settings!$B$83:$B$91,"&lt;="&amp;A51)</f>
        <v>9</v>
      </c>
      <c r="J51" s="9" t="n">
        <f aca="false">COUNTIF(Dishes!$J$5:$J$29,A51)</f>
        <v>0</v>
      </c>
      <c r="K51" s="9" t="n">
        <f aca="false">COUNTIF(Furniture!$F$5:$F$42,A51)</f>
        <v>0</v>
      </c>
      <c r="L51" s="9" t="n">
        <f aca="false">COUNTIF(Expansions!$E$5:$E$15,A51)</f>
        <v>0</v>
      </c>
      <c r="M51" s="32" t="n">
        <f aca="false">ROUNDUP(B51/(Settings!$B$25+Settings!$B$26),0)</f>
        <v>363</v>
      </c>
      <c r="N51" s="9" t="str">
        <f aca="false">IF(A51&lt;=Settings!$B$102,"Yes","No")</f>
        <v>No</v>
      </c>
    </row>
    <row r="52" customFormat="false" ht="15" hidden="false" customHeight="false" outlineLevel="0" collapsed="false">
      <c r="A52" s="2" t="n">
        <v>48</v>
      </c>
      <c r="B52" s="32" t="n">
        <f aca="false">Settings!$B$11+Settings!$B$12*A52</f>
        <v>2960</v>
      </c>
      <c r="C52" s="33" t="n">
        <f aca="false">C51+B51</f>
        <v>71440</v>
      </c>
      <c r="D52" s="32" t="n">
        <f aca="false">Settings!$B$14</f>
        <v>100</v>
      </c>
      <c r="E52" s="9" t="n">
        <f aca="false">Settings!$B$16+(A52&gt;=Settings!$B$17)</f>
        <v>4</v>
      </c>
      <c r="F52" s="9" t="n">
        <f aca="false">Settings!$B$18+(A52&gt;=Settings!$B$19)+(A52&gt;=Settings!$B$20)</f>
        <v>3</v>
      </c>
      <c r="G52" s="2" t="n">
        <f aca="false">E52*F52</f>
        <v>12</v>
      </c>
      <c r="H52" s="9" t="n">
        <f aca="false">Settings!$B$47+COUNTIF(Settings!$B$48:$B$53,"&lt;="&amp;A52)</f>
        <v>9</v>
      </c>
      <c r="I52" s="9" t="n">
        <f aca="false">COUNTIF(Settings!$B$83:$B$91,"&lt;="&amp;A52)</f>
        <v>9</v>
      </c>
      <c r="J52" s="9" t="n">
        <f aca="false">COUNTIF(Dishes!$J$5:$J$29,A52)</f>
        <v>0</v>
      </c>
      <c r="K52" s="9" t="n">
        <f aca="false">COUNTIF(Furniture!$F$5:$F$42,A52)</f>
        <v>0</v>
      </c>
      <c r="L52" s="9" t="n">
        <f aca="false">COUNTIF(Expansions!$E$5:$E$15,A52)</f>
        <v>0</v>
      </c>
      <c r="M52" s="32" t="n">
        <f aca="false">ROUNDUP(B52/(Settings!$B$25+Settings!$B$26),0)</f>
        <v>370</v>
      </c>
      <c r="N52" s="9" t="str">
        <f aca="false">IF(A52&lt;=Settings!$B$102,"Yes","No")</f>
        <v>No</v>
      </c>
    </row>
    <row r="53" customFormat="false" ht="15" hidden="false" customHeight="false" outlineLevel="0" collapsed="false">
      <c r="A53" s="2" t="n">
        <v>49</v>
      </c>
      <c r="B53" s="32" t="n">
        <f aca="false">Settings!$B$11+Settings!$B$12*A53</f>
        <v>3020</v>
      </c>
      <c r="C53" s="33" t="n">
        <f aca="false">C52+B52</f>
        <v>74400</v>
      </c>
      <c r="D53" s="32" t="n">
        <f aca="false">Settings!$B$14</f>
        <v>100</v>
      </c>
      <c r="E53" s="9" t="n">
        <f aca="false">Settings!$B$16+(A53&gt;=Settings!$B$17)</f>
        <v>4</v>
      </c>
      <c r="F53" s="9" t="n">
        <f aca="false">Settings!$B$18+(A53&gt;=Settings!$B$19)+(A53&gt;=Settings!$B$20)</f>
        <v>3</v>
      </c>
      <c r="G53" s="2" t="n">
        <f aca="false">E53*F53</f>
        <v>12</v>
      </c>
      <c r="H53" s="9" t="n">
        <f aca="false">Settings!$B$47+COUNTIF(Settings!$B$48:$B$53,"&lt;="&amp;A53)</f>
        <v>9</v>
      </c>
      <c r="I53" s="9" t="n">
        <f aca="false">COUNTIF(Settings!$B$83:$B$91,"&lt;="&amp;A53)</f>
        <v>9</v>
      </c>
      <c r="J53" s="9" t="n">
        <f aca="false">COUNTIF(Dishes!$J$5:$J$29,A53)</f>
        <v>0</v>
      </c>
      <c r="K53" s="9" t="n">
        <f aca="false">COUNTIF(Furniture!$F$5:$F$42,A53)</f>
        <v>0</v>
      </c>
      <c r="L53" s="9" t="n">
        <f aca="false">COUNTIF(Expansions!$E$5:$E$15,A53)</f>
        <v>0</v>
      </c>
      <c r="M53" s="32" t="n">
        <f aca="false">ROUNDUP(B53/(Settings!$B$25+Settings!$B$26),0)</f>
        <v>378</v>
      </c>
      <c r="N53" s="9" t="str">
        <f aca="false">IF(A53&lt;=Settings!$B$102,"Yes","No")</f>
        <v>No</v>
      </c>
    </row>
    <row r="54" customFormat="false" ht="15" hidden="false" customHeight="false" outlineLevel="0" collapsed="false">
      <c r="A54" s="2" t="n">
        <v>50</v>
      </c>
      <c r="B54" s="32" t="n">
        <f aca="false">Settings!$B$11+Settings!$B$12*A54</f>
        <v>3080</v>
      </c>
      <c r="C54" s="33" t="n">
        <f aca="false">C53+B53</f>
        <v>77420</v>
      </c>
      <c r="D54" s="32" t="n">
        <f aca="false">Settings!$B$14</f>
        <v>100</v>
      </c>
      <c r="E54" s="9" t="n">
        <f aca="false">Settings!$B$16+(A54&gt;=Settings!$B$17)</f>
        <v>4</v>
      </c>
      <c r="F54" s="9" t="n">
        <f aca="false">Settings!$B$18+(A54&gt;=Settings!$B$19)+(A54&gt;=Settings!$B$20)</f>
        <v>3</v>
      </c>
      <c r="G54" s="2" t="n">
        <f aca="false">E54*F54</f>
        <v>12</v>
      </c>
      <c r="H54" s="9" t="n">
        <f aca="false">Settings!$B$47+COUNTIF(Settings!$B$48:$B$53,"&lt;="&amp;A54)</f>
        <v>9</v>
      </c>
      <c r="I54" s="9" t="n">
        <f aca="false">COUNTIF(Settings!$B$83:$B$91,"&lt;="&amp;A54)</f>
        <v>9</v>
      </c>
      <c r="J54" s="9" t="n">
        <f aca="false">COUNTIF(Dishes!$J$5:$J$29,A54)</f>
        <v>0</v>
      </c>
      <c r="K54" s="9" t="n">
        <f aca="false">COUNTIF(Furniture!$F$5:$F$42,A54)</f>
        <v>0</v>
      </c>
      <c r="L54" s="9" t="n">
        <f aca="false">COUNTIF(Expansions!$E$5:$E$15,A54)</f>
        <v>1</v>
      </c>
      <c r="M54" s="32" t="n">
        <f aca="false">ROUNDUP(B54/(Settings!$B$25+Settings!$B$26),0)</f>
        <v>385</v>
      </c>
      <c r="N54" s="9" t="str">
        <f aca="false">IF(A54&lt;=Settings!$B$102,"Yes","No")</f>
        <v>No</v>
      </c>
    </row>
    <row r="55" customFormat="false" ht="15" hidden="false" customHeight="false" outlineLevel="0" collapsed="false">
      <c r="A55" s="2" t="n">
        <v>51</v>
      </c>
      <c r="B55" s="32" t="n">
        <f aca="false">Settings!$B$11+Settings!$B$12*A55</f>
        <v>3140</v>
      </c>
      <c r="C55" s="33" t="n">
        <f aca="false">C54+B54</f>
        <v>80500</v>
      </c>
      <c r="D55" s="32" t="n">
        <f aca="false">Settings!$B$14</f>
        <v>100</v>
      </c>
      <c r="E55" s="9" t="n">
        <f aca="false">Settings!$B$16+(A55&gt;=Settings!$B$17)</f>
        <v>4</v>
      </c>
      <c r="F55" s="9" t="n">
        <f aca="false">Settings!$B$18+(A55&gt;=Settings!$B$19)+(A55&gt;=Settings!$B$20)</f>
        <v>3</v>
      </c>
      <c r="G55" s="2" t="n">
        <f aca="false">E55*F55</f>
        <v>12</v>
      </c>
      <c r="H55" s="9" t="n">
        <f aca="false">Settings!$B$47+COUNTIF(Settings!$B$48:$B$53,"&lt;="&amp;A55)</f>
        <v>9</v>
      </c>
      <c r="I55" s="9" t="n">
        <f aca="false">COUNTIF(Settings!$B$83:$B$91,"&lt;="&amp;A55)</f>
        <v>9</v>
      </c>
      <c r="J55" s="9" t="n">
        <f aca="false">COUNTIF(Dishes!$J$5:$J$29,A55)</f>
        <v>0</v>
      </c>
      <c r="K55" s="9" t="n">
        <f aca="false">COUNTIF(Furniture!$F$5:$F$42,A55)</f>
        <v>0</v>
      </c>
      <c r="L55" s="9" t="n">
        <f aca="false">COUNTIF(Expansions!$E$5:$E$15,A55)</f>
        <v>0</v>
      </c>
      <c r="M55" s="32" t="n">
        <f aca="false">ROUNDUP(B55/(Settings!$B$25+Settings!$B$26),0)</f>
        <v>393</v>
      </c>
      <c r="N55" s="9" t="str">
        <f aca="false">IF(A55&lt;=Settings!$B$102,"Yes","No")</f>
        <v>No</v>
      </c>
    </row>
    <row r="56" customFormat="false" ht="15" hidden="false" customHeight="false" outlineLevel="0" collapsed="false">
      <c r="A56" s="2" t="n">
        <v>52</v>
      </c>
      <c r="B56" s="32" t="n">
        <f aca="false">Settings!$B$11+Settings!$B$12*A56</f>
        <v>3200</v>
      </c>
      <c r="C56" s="33" t="n">
        <f aca="false">C55+B55</f>
        <v>83640</v>
      </c>
      <c r="D56" s="32" t="n">
        <f aca="false">Settings!$B$14</f>
        <v>100</v>
      </c>
      <c r="E56" s="9" t="n">
        <f aca="false">Settings!$B$16+(A56&gt;=Settings!$B$17)</f>
        <v>4</v>
      </c>
      <c r="F56" s="9" t="n">
        <f aca="false">Settings!$B$18+(A56&gt;=Settings!$B$19)+(A56&gt;=Settings!$B$20)</f>
        <v>3</v>
      </c>
      <c r="G56" s="2" t="n">
        <f aca="false">E56*F56</f>
        <v>12</v>
      </c>
      <c r="H56" s="9" t="n">
        <f aca="false">Settings!$B$47+COUNTIF(Settings!$B$48:$B$53,"&lt;="&amp;A56)</f>
        <v>9</v>
      </c>
      <c r="I56" s="9" t="n">
        <f aca="false">COUNTIF(Settings!$B$83:$B$91,"&lt;="&amp;A56)</f>
        <v>9</v>
      </c>
      <c r="J56" s="9" t="n">
        <f aca="false">COUNTIF(Dishes!$J$5:$J$29,A56)</f>
        <v>0</v>
      </c>
      <c r="K56" s="9" t="n">
        <f aca="false">COUNTIF(Furniture!$F$5:$F$42,A56)</f>
        <v>0</v>
      </c>
      <c r="L56" s="9" t="n">
        <f aca="false">COUNTIF(Expansions!$E$5:$E$15,A56)</f>
        <v>0</v>
      </c>
      <c r="M56" s="32" t="n">
        <f aca="false">ROUNDUP(B56/(Settings!$B$25+Settings!$B$26),0)</f>
        <v>400</v>
      </c>
      <c r="N56" s="9" t="str">
        <f aca="false">IF(A56&lt;=Settings!$B$102,"Yes","No")</f>
        <v>No</v>
      </c>
    </row>
    <row r="57" customFormat="false" ht="15" hidden="false" customHeight="false" outlineLevel="0" collapsed="false">
      <c r="A57" s="2" t="n">
        <v>53</v>
      </c>
      <c r="B57" s="32" t="n">
        <f aca="false">Settings!$B$11+Settings!$B$12*A57</f>
        <v>3260</v>
      </c>
      <c r="C57" s="33" t="n">
        <f aca="false">C56+B56</f>
        <v>86840</v>
      </c>
      <c r="D57" s="32" t="n">
        <f aca="false">Settings!$B$14</f>
        <v>100</v>
      </c>
      <c r="E57" s="9" t="n">
        <f aca="false">Settings!$B$16+(A57&gt;=Settings!$B$17)</f>
        <v>4</v>
      </c>
      <c r="F57" s="9" t="n">
        <f aca="false">Settings!$B$18+(A57&gt;=Settings!$B$19)+(A57&gt;=Settings!$B$20)</f>
        <v>3</v>
      </c>
      <c r="G57" s="2" t="n">
        <f aca="false">E57*F57</f>
        <v>12</v>
      </c>
      <c r="H57" s="9" t="n">
        <f aca="false">Settings!$B$47+COUNTIF(Settings!$B$48:$B$53,"&lt;="&amp;A57)</f>
        <v>9</v>
      </c>
      <c r="I57" s="9" t="n">
        <f aca="false">COUNTIF(Settings!$B$83:$B$91,"&lt;="&amp;A57)</f>
        <v>9</v>
      </c>
      <c r="J57" s="9" t="n">
        <f aca="false">COUNTIF(Dishes!$J$5:$J$29,A57)</f>
        <v>0</v>
      </c>
      <c r="K57" s="9" t="n">
        <f aca="false">COUNTIF(Furniture!$F$5:$F$42,A57)</f>
        <v>0</v>
      </c>
      <c r="L57" s="9" t="n">
        <f aca="false">COUNTIF(Expansions!$E$5:$E$15,A57)</f>
        <v>0</v>
      </c>
      <c r="M57" s="32" t="n">
        <f aca="false">ROUNDUP(B57/(Settings!$B$25+Settings!$B$26),0)</f>
        <v>408</v>
      </c>
      <c r="N57" s="9" t="str">
        <f aca="false">IF(A57&lt;=Settings!$B$102,"Yes","No")</f>
        <v>No</v>
      </c>
    </row>
    <row r="58" customFormat="false" ht="15" hidden="false" customHeight="false" outlineLevel="0" collapsed="false">
      <c r="A58" s="2" t="n">
        <v>54</v>
      </c>
      <c r="B58" s="32" t="n">
        <f aca="false">Settings!$B$11+Settings!$B$12*A58</f>
        <v>3320</v>
      </c>
      <c r="C58" s="33" t="n">
        <f aca="false">C57+B57</f>
        <v>90100</v>
      </c>
      <c r="D58" s="32" t="n">
        <f aca="false">Settings!$B$14</f>
        <v>100</v>
      </c>
      <c r="E58" s="9" t="n">
        <f aca="false">Settings!$B$16+(A58&gt;=Settings!$B$17)</f>
        <v>4</v>
      </c>
      <c r="F58" s="9" t="n">
        <f aca="false">Settings!$B$18+(A58&gt;=Settings!$B$19)+(A58&gt;=Settings!$B$20)</f>
        <v>3</v>
      </c>
      <c r="G58" s="2" t="n">
        <f aca="false">E58*F58</f>
        <v>12</v>
      </c>
      <c r="H58" s="9" t="n">
        <f aca="false">Settings!$B$47+COUNTIF(Settings!$B$48:$B$53,"&lt;="&amp;A58)</f>
        <v>9</v>
      </c>
      <c r="I58" s="9" t="n">
        <f aca="false">COUNTIF(Settings!$B$83:$B$91,"&lt;="&amp;A58)</f>
        <v>9</v>
      </c>
      <c r="J58" s="9" t="n">
        <f aca="false">COUNTIF(Dishes!$J$5:$J$29,A58)</f>
        <v>0</v>
      </c>
      <c r="K58" s="9" t="n">
        <f aca="false">COUNTIF(Furniture!$F$5:$F$42,A58)</f>
        <v>0</v>
      </c>
      <c r="L58" s="9" t="n">
        <f aca="false">COUNTIF(Expansions!$E$5:$E$15,A58)</f>
        <v>0</v>
      </c>
      <c r="M58" s="32" t="n">
        <f aca="false">ROUNDUP(B58/(Settings!$B$25+Settings!$B$26),0)</f>
        <v>415</v>
      </c>
      <c r="N58" s="9" t="str">
        <f aca="false">IF(A58&lt;=Settings!$B$102,"Yes","No")</f>
        <v>No</v>
      </c>
    </row>
    <row r="59" customFormat="false" ht="15" hidden="false" customHeight="false" outlineLevel="0" collapsed="false">
      <c r="A59" s="2" t="n">
        <v>55</v>
      </c>
      <c r="B59" s="32" t="n">
        <f aca="false">Settings!$B$11+Settings!$B$12*A59</f>
        <v>3380</v>
      </c>
      <c r="C59" s="33" t="n">
        <f aca="false">C58+B58</f>
        <v>93420</v>
      </c>
      <c r="D59" s="32" t="n">
        <f aca="false">Settings!$B$14</f>
        <v>100</v>
      </c>
      <c r="E59" s="9" t="n">
        <f aca="false">Settings!$B$16+(A59&gt;=Settings!$B$17)</f>
        <v>4</v>
      </c>
      <c r="F59" s="9" t="n">
        <f aca="false">Settings!$B$18+(A59&gt;=Settings!$B$19)+(A59&gt;=Settings!$B$20)</f>
        <v>3</v>
      </c>
      <c r="G59" s="2" t="n">
        <f aca="false">E59*F59</f>
        <v>12</v>
      </c>
      <c r="H59" s="9" t="n">
        <f aca="false">Settings!$B$47+COUNTIF(Settings!$B$48:$B$53,"&lt;="&amp;A59)</f>
        <v>9</v>
      </c>
      <c r="I59" s="9" t="n">
        <f aca="false">COUNTIF(Settings!$B$83:$B$91,"&lt;="&amp;A59)</f>
        <v>9</v>
      </c>
      <c r="J59" s="9" t="n">
        <f aca="false">COUNTIF(Dishes!$J$5:$J$29,A59)</f>
        <v>0</v>
      </c>
      <c r="K59" s="9" t="n">
        <f aca="false">COUNTIF(Furniture!$F$5:$F$42,A59)</f>
        <v>0</v>
      </c>
      <c r="L59" s="9" t="n">
        <f aca="false">COUNTIF(Expansions!$E$5:$E$15,A59)</f>
        <v>0</v>
      </c>
      <c r="M59" s="32" t="n">
        <f aca="false">ROUNDUP(B59/(Settings!$B$25+Settings!$B$26),0)</f>
        <v>423</v>
      </c>
      <c r="N59" s="9" t="str">
        <f aca="false">IF(A59&lt;=Settings!$B$102,"Yes","No")</f>
        <v>No</v>
      </c>
    </row>
    <row r="60" customFormat="false" ht="15" hidden="false" customHeight="false" outlineLevel="0" collapsed="false">
      <c r="A60" s="2" t="n">
        <v>56</v>
      </c>
      <c r="B60" s="32" t="n">
        <f aca="false">Settings!$B$11+Settings!$B$12*A60</f>
        <v>3440</v>
      </c>
      <c r="C60" s="33" t="n">
        <f aca="false">C59+B59</f>
        <v>96800</v>
      </c>
      <c r="D60" s="32" t="n">
        <f aca="false">Settings!$B$14</f>
        <v>100</v>
      </c>
      <c r="E60" s="9" t="n">
        <f aca="false">Settings!$B$16+(A60&gt;=Settings!$B$17)</f>
        <v>4</v>
      </c>
      <c r="F60" s="9" t="n">
        <f aca="false">Settings!$B$18+(A60&gt;=Settings!$B$19)+(A60&gt;=Settings!$B$20)</f>
        <v>3</v>
      </c>
      <c r="G60" s="2" t="n">
        <f aca="false">E60*F60</f>
        <v>12</v>
      </c>
      <c r="H60" s="9" t="n">
        <f aca="false">Settings!$B$47+COUNTIF(Settings!$B$48:$B$53,"&lt;="&amp;A60)</f>
        <v>9</v>
      </c>
      <c r="I60" s="9" t="n">
        <f aca="false">COUNTIF(Settings!$B$83:$B$91,"&lt;="&amp;A60)</f>
        <v>9</v>
      </c>
      <c r="J60" s="9" t="n">
        <f aca="false">COUNTIF(Dishes!$J$5:$J$29,A60)</f>
        <v>0</v>
      </c>
      <c r="K60" s="9" t="n">
        <f aca="false">COUNTIF(Furniture!$F$5:$F$42,A60)</f>
        <v>0</v>
      </c>
      <c r="L60" s="9" t="n">
        <f aca="false">COUNTIF(Expansions!$E$5:$E$15,A60)</f>
        <v>0</v>
      </c>
      <c r="M60" s="32" t="n">
        <f aca="false">ROUNDUP(B60/(Settings!$B$25+Settings!$B$26),0)</f>
        <v>430</v>
      </c>
      <c r="N60" s="9" t="str">
        <f aca="false">IF(A60&lt;=Settings!$B$102,"Yes","No")</f>
        <v>No</v>
      </c>
    </row>
    <row r="61" customFormat="false" ht="15" hidden="false" customHeight="false" outlineLevel="0" collapsed="false">
      <c r="A61" s="2" t="n">
        <v>57</v>
      </c>
      <c r="B61" s="32" t="n">
        <f aca="false">Settings!$B$11+Settings!$B$12*A61</f>
        <v>3500</v>
      </c>
      <c r="C61" s="33" t="n">
        <f aca="false">C60+B60</f>
        <v>100240</v>
      </c>
      <c r="D61" s="32" t="n">
        <f aca="false">Settings!$B$14</f>
        <v>100</v>
      </c>
      <c r="E61" s="9" t="n">
        <f aca="false">Settings!$B$16+(A61&gt;=Settings!$B$17)</f>
        <v>4</v>
      </c>
      <c r="F61" s="9" t="n">
        <f aca="false">Settings!$B$18+(A61&gt;=Settings!$B$19)+(A61&gt;=Settings!$B$20)</f>
        <v>3</v>
      </c>
      <c r="G61" s="2" t="n">
        <f aca="false">E61*F61</f>
        <v>12</v>
      </c>
      <c r="H61" s="9" t="n">
        <f aca="false">Settings!$B$47+COUNTIF(Settings!$B$48:$B$53,"&lt;="&amp;A61)</f>
        <v>9</v>
      </c>
      <c r="I61" s="9" t="n">
        <f aca="false">COUNTIF(Settings!$B$83:$B$91,"&lt;="&amp;A61)</f>
        <v>9</v>
      </c>
      <c r="J61" s="9" t="n">
        <f aca="false">COUNTIF(Dishes!$J$5:$J$29,A61)</f>
        <v>0</v>
      </c>
      <c r="K61" s="9" t="n">
        <f aca="false">COUNTIF(Furniture!$F$5:$F$42,A61)</f>
        <v>0</v>
      </c>
      <c r="L61" s="9" t="n">
        <f aca="false">COUNTIF(Expansions!$E$5:$E$15,A61)</f>
        <v>0</v>
      </c>
      <c r="M61" s="32" t="n">
        <f aca="false">ROUNDUP(B61/(Settings!$B$25+Settings!$B$26),0)</f>
        <v>438</v>
      </c>
      <c r="N61" s="9" t="str">
        <f aca="false">IF(A61&lt;=Settings!$B$102,"Yes","No")</f>
        <v>No</v>
      </c>
    </row>
    <row r="62" customFormat="false" ht="15" hidden="false" customHeight="false" outlineLevel="0" collapsed="false">
      <c r="A62" s="2" t="n">
        <v>58</v>
      </c>
      <c r="B62" s="32" t="n">
        <f aca="false">Settings!$B$11+Settings!$B$12*A62</f>
        <v>3560</v>
      </c>
      <c r="C62" s="33" t="n">
        <f aca="false">C61+B61</f>
        <v>103740</v>
      </c>
      <c r="D62" s="32" t="n">
        <f aca="false">Settings!$B$14</f>
        <v>100</v>
      </c>
      <c r="E62" s="9" t="n">
        <f aca="false">Settings!$B$16+(A62&gt;=Settings!$B$17)</f>
        <v>4</v>
      </c>
      <c r="F62" s="9" t="n">
        <f aca="false">Settings!$B$18+(A62&gt;=Settings!$B$19)+(A62&gt;=Settings!$B$20)</f>
        <v>3</v>
      </c>
      <c r="G62" s="2" t="n">
        <f aca="false">E62*F62</f>
        <v>12</v>
      </c>
      <c r="H62" s="9" t="n">
        <f aca="false">Settings!$B$47+COUNTIF(Settings!$B$48:$B$53,"&lt;="&amp;A62)</f>
        <v>9</v>
      </c>
      <c r="I62" s="9" t="n">
        <f aca="false">COUNTIF(Settings!$B$83:$B$91,"&lt;="&amp;A62)</f>
        <v>9</v>
      </c>
      <c r="J62" s="9" t="n">
        <f aca="false">COUNTIF(Dishes!$J$5:$J$29,A62)</f>
        <v>0</v>
      </c>
      <c r="K62" s="9" t="n">
        <f aca="false">COUNTIF(Furniture!$F$5:$F$42,A62)</f>
        <v>0</v>
      </c>
      <c r="L62" s="9" t="n">
        <f aca="false">COUNTIF(Expansions!$E$5:$E$15,A62)</f>
        <v>0</v>
      </c>
      <c r="M62" s="32" t="n">
        <f aca="false">ROUNDUP(B62/(Settings!$B$25+Settings!$B$26),0)</f>
        <v>445</v>
      </c>
      <c r="N62" s="9" t="str">
        <f aca="false">IF(A62&lt;=Settings!$B$102,"Yes","No")</f>
        <v>No</v>
      </c>
    </row>
    <row r="63" customFormat="false" ht="15" hidden="false" customHeight="false" outlineLevel="0" collapsed="false">
      <c r="A63" s="2" t="n">
        <v>59</v>
      </c>
      <c r="B63" s="32" t="n">
        <f aca="false">Settings!$B$11+Settings!$B$12*A63</f>
        <v>3620</v>
      </c>
      <c r="C63" s="33" t="n">
        <f aca="false">C62+B62</f>
        <v>107300</v>
      </c>
      <c r="D63" s="32" t="n">
        <f aca="false">Settings!$B$14</f>
        <v>100</v>
      </c>
      <c r="E63" s="9" t="n">
        <f aca="false">Settings!$B$16+(A63&gt;=Settings!$B$17)</f>
        <v>4</v>
      </c>
      <c r="F63" s="9" t="n">
        <f aca="false">Settings!$B$18+(A63&gt;=Settings!$B$19)+(A63&gt;=Settings!$B$20)</f>
        <v>3</v>
      </c>
      <c r="G63" s="2" t="n">
        <f aca="false">E63*F63</f>
        <v>12</v>
      </c>
      <c r="H63" s="9" t="n">
        <f aca="false">Settings!$B$47+COUNTIF(Settings!$B$48:$B$53,"&lt;="&amp;A63)</f>
        <v>9</v>
      </c>
      <c r="I63" s="9" t="n">
        <f aca="false">COUNTIF(Settings!$B$83:$B$91,"&lt;="&amp;A63)</f>
        <v>9</v>
      </c>
      <c r="J63" s="9" t="n">
        <f aca="false">COUNTIF(Dishes!$J$5:$J$29,A63)</f>
        <v>0</v>
      </c>
      <c r="K63" s="9" t="n">
        <f aca="false">COUNTIF(Furniture!$F$5:$F$42,A63)</f>
        <v>0</v>
      </c>
      <c r="L63" s="9" t="n">
        <f aca="false">COUNTIF(Expansions!$E$5:$E$15,A63)</f>
        <v>0</v>
      </c>
      <c r="M63" s="32" t="n">
        <f aca="false">ROUNDUP(B63/(Settings!$B$25+Settings!$B$26),0)</f>
        <v>453</v>
      </c>
      <c r="N63" s="9" t="str">
        <f aca="false">IF(A63&lt;=Settings!$B$102,"Yes","No")</f>
        <v>No</v>
      </c>
    </row>
    <row r="64" customFormat="false" ht="15" hidden="false" customHeight="false" outlineLevel="0" collapsed="false">
      <c r="A64" s="2" t="n">
        <v>60</v>
      </c>
      <c r="B64" s="32" t="n">
        <f aca="false">Settings!$B$11+Settings!$B$12*A64</f>
        <v>3680</v>
      </c>
      <c r="C64" s="33" t="n">
        <f aca="false">C63+B63</f>
        <v>110920</v>
      </c>
      <c r="D64" s="32" t="n">
        <f aca="false">Settings!$B$14</f>
        <v>100</v>
      </c>
      <c r="E64" s="9" t="n">
        <f aca="false">Settings!$B$16+(A64&gt;=Settings!$B$17)</f>
        <v>4</v>
      </c>
      <c r="F64" s="9" t="n">
        <f aca="false">Settings!$B$18+(A64&gt;=Settings!$B$19)+(A64&gt;=Settings!$B$20)</f>
        <v>3</v>
      </c>
      <c r="G64" s="2" t="n">
        <f aca="false">E64*F64</f>
        <v>12</v>
      </c>
      <c r="H64" s="9" t="n">
        <f aca="false">Settings!$B$47+COUNTIF(Settings!$B$48:$B$53,"&lt;="&amp;A64)</f>
        <v>9</v>
      </c>
      <c r="I64" s="9" t="n">
        <f aca="false">COUNTIF(Settings!$B$83:$B$91,"&lt;="&amp;A64)</f>
        <v>9</v>
      </c>
      <c r="J64" s="9" t="n">
        <f aca="false">COUNTIF(Dishes!$J$5:$J$29,A64)</f>
        <v>0</v>
      </c>
      <c r="K64" s="9" t="n">
        <f aca="false">COUNTIF(Furniture!$F$5:$F$42,A64)</f>
        <v>0</v>
      </c>
      <c r="L64" s="9" t="n">
        <f aca="false">COUNTIF(Expansions!$E$5:$E$15,A64)</f>
        <v>0</v>
      </c>
      <c r="M64" s="32" t="n">
        <f aca="false">ROUNDUP(B64/(Settings!$B$25+Settings!$B$26),0)</f>
        <v>460</v>
      </c>
      <c r="N64" s="9" t="str">
        <f aca="false">IF(A64&lt;=Settings!$B$102,"Yes","No")</f>
        <v>No</v>
      </c>
    </row>
    <row r="65" customFormat="false" ht="15" hidden="false" customHeight="false" outlineLevel="0" collapsed="false">
      <c r="A65" s="2" t="n">
        <v>61</v>
      </c>
      <c r="B65" s="32" t="n">
        <f aca="false">Settings!$B$11+Settings!$B$12*A65</f>
        <v>3740</v>
      </c>
      <c r="C65" s="33" t="n">
        <f aca="false">C64+B64</f>
        <v>114600</v>
      </c>
      <c r="D65" s="32" t="n">
        <f aca="false">Settings!$B$14</f>
        <v>100</v>
      </c>
      <c r="E65" s="9" t="n">
        <f aca="false">Settings!$B$16+(A65&gt;=Settings!$B$17)</f>
        <v>4</v>
      </c>
      <c r="F65" s="9" t="n">
        <f aca="false">Settings!$B$18+(A65&gt;=Settings!$B$19)+(A65&gt;=Settings!$B$20)</f>
        <v>3</v>
      </c>
      <c r="G65" s="2" t="n">
        <f aca="false">E65*F65</f>
        <v>12</v>
      </c>
      <c r="H65" s="9" t="n">
        <f aca="false">Settings!$B$47+COUNTIF(Settings!$B$48:$B$53,"&lt;="&amp;A65)</f>
        <v>9</v>
      </c>
      <c r="I65" s="9" t="n">
        <f aca="false">COUNTIF(Settings!$B$83:$B$91,"&lt;="&amp;A65)</f>
        <v>9</v>
      </c>
      <c r="J65" s="9" t="n">
        <f aca="false">COUNTIF(Dishes!$J$5:$J$29,A65)</f>
        <v>0</v>
      </c>
      <c r="K65" s="9" t="n">
        <f aca="false">COUNTIF(Furniture!$F$5:$F$42,A65)</f>
        <v>0</v>
      </c>
      <c r="L65" s="9" t="n">
        <f aca="false">COUNTIF(Expansions!$E$5:$E$15,A65)</f>
        <v>0</v>
      </c>
      <c r="M65" s="32" t="n">
        <f aca="false">ROUNDUP(B65/(Settings!$B$25+Settings!$B$26),0)</f>
        <v>468</v>
      </c>
      <c r="N65" s="9" t="str">
        <f aca="false">IF(A65&lt;=Settings!$B$102,"Yes","No")</f>
        <v>No</v>
      </c>
    </row>
    <row r="66" customFormat="false" ht="15" hidden="false" customHeight="false" outlineLevel="0" collapsed="false">
      <c r="A66" s="2" t="n">
        <v>62</v>
      </c>
      <c r="B66" s="32" t="n">
        <f aca="false">Settings!$B$11+Settings!$B$12*A66</f>
        <v>3800</v>
      </c>
      <c r="C66" s="33" t="n">
        <f aca="false">C65+B65</f>
        <v>118340</v>
      </c>
      <c r="D66" s="32" t="n">
        <f aca="false">Settings!$B$14</f>
        <v>100</v>
      </c>
      <c r="E66" s="9" t="n">
        <f aca="false">Settings!$B$16+(A66&gt;=Settings!$B$17)</f>
        <v>4</v>
      </c>
      <c r="F66" s="9" t="n">
        <f aca="false">Settings!$B$18+(A66&gt;=Settings!$B$19)+(A66&gt;=Settings!$B$20)</f>
        <v>3</v>
      </c>
      <c r="G66" s="2" t="n">
        <f aca="false">E66*F66</f>
        <v>12</v>
      </c>
      <c r="H66" s="9" t="n">
        <f aca="false">Settings!$B$47+COUNTIF(Settings!$B$48:$B$53,"&lt;="&amp;A66)</f>
        <v>9</v>
      </c>
      <c r="I66" s="9" t="n">
        <f aca="false">COUNTIF(Settings!$B$83:$B$91,"&lt;="&amp;A66)</f>
        <v>9</v>
      </c>
      <c r="J66" s="9" t="n">
        <f aca="false">COUNTIF(Dishes!$J$5:$J$29,A66)</f>
        <v>0</v>
      </c>
      <c r="K66" s="9" t="n">
        <f aca="false">COUNTIF(Furniture!$F$5:$F$42,A66)</f>
        <v>0</v>
      </c>
      <c r="L66" s="9" t="n">
        <f aca="false">COUNTIF(Expansions!$E$5:$E$15,A66)</f>
        <v>0</v>
      </c>
      <c r="M66" s="32" t="n">
        <f aca="false">ROUNDUP(B66/(Settings!$B$25+Settings!$B$26),0)</f>
        <v>475</v>
      </c>
      <c r="N66" s="9" t="str">
        <f aca="false">IF(A66&lt;=Settings!$B$102,"Yes","No")</f>
        <v>No</v>
      </c>
    </row>
    <row r="67" customFormat="false" ht="15" hidden="false" customHeight="false" outlineLevel="0" collapsed="false">
      <c r="A67" s="2" t="n">
        <v>63</v>
      </c>
      <c r="B67" s="32" t="n">
        <f aca="false">Settings!$B$11+Settings!$B$12*A67</f>
        <v>3860</v>
      </c>
      <c r="C67" s="33" t="n">
        <f aca="false">C66+B66</f>
        <v>122140</v>
      </c>
      <c r="D67" s="32" t="n">
        <f aca="false">Settings!$B$14</f>
        <v>100</v>
      </c>
      <c r="E67" s="9" t="n">
        <f aca="false">Settings!$B$16+(A67&gt;=Settings!$B$17)</f>
        <v>4</v>
      </c>
      <c r="F67" s="9" t="n">
        <f aca="false">Settings!$B$18+(A67&gt;=Settings!$B$19)+(A67&gt;=Settings!$B$20)</f>
        <v>3</v>
      </c>
      <c r="G67" s="2" t="n">
        <f aca="false">E67*F67</f>
        <v>12</v>
      </c>
      <c r="H67" s="9" t="n">
        <f aca="false">Settings!$B$47+COUNTIF(Settings!$B$48:$B$53,"&lt;="&amp;A67)</f>
        <v>9</v>
      </c>
      <c r="I67" s="9" t="n">
        <f aca="false">COUNTIF(Settings!$B$83:$B$91,"&lt;="&amp;A67)</f>
        <v>9</v>
      </c>
      <c r="J67" s="9" t="n">
        <f aca="false">COUNTIF(Dishes!$J$5:$J$29,A67)</f>
        <v>0</v>
      </c>
      <c r="K67" s="9" t="n">
        <f aca="false">COUNTIF(Furniture!$F$5:$F$42,A67)</f>
        <v>0</v>
      </c>
      <c r="L67" s="9" t="n">
        <f aca="false">COUNTIF(Expansions!$E$5:$E$15,A67)</f>
        <v>0</v>
      </c>
      <c r="M67" s="32" t="n">
        <f aca="false">ROUNDUP(B67/(Settings!$B$25+Settings!$B$26),0)</f>
        <v>483</v>
      </c>
      <c r="N67" s="9" t="str">
        <f aca="false">IF(A67&lt;=Settings!$B$102,"Yes","No")</f>
        <v>No</v>
      </c>
    </row>
    <row r="68" customFormat="false" ht="15" hidden="false" customHeight="false" outlineLevel="0" collapsed="false">
      <c r="A68" s="2" t="n">
        <v>64</v>
      </c>
      <c r="B68" s="32" t="n">
        <f aca="false">Settings!$B$11+Settings!$B$12*A68</f>
        <v>3920</v>
      </c>
      <c r="C68" s="33" t="n">
        <f aca="false">C67+B67</f>
        <v>126000</v>
      </c>
      <c r="D68" s="32" t="n">
        <f aca="false">Settings!$B$14</f>
        <v>100</v>
      </c>
      <c r="E68" s="9" t="n">
        <f aca="false">Settings!$B$16+(A68&gt;=Settings!$B$17)</f>
        <v>4</v>
      </c>
      <c r="F68" s="9" t="n">
        <f aca="false">Settings!$B$18+(A68&gt;=Settings!$B$19)+(A68&gt;=Settings!$B$20)</f>
        <v>3</v>
      </c>
      <c r="G68" s="2" t="n">
        <f aca="false">E68*F68</f>
        <v>12</v>
      </c>
      <c r="H68" s="9" t="n">
        <f aca="false">Settings!$B$47+COUNTIF(Settings!$B$48:$B$53,"&lt;="&amp;A68)</f>
        <v>9</v>
      </c>
      <c r="I68" s="9" t="n">
        <f aca="false">COUNTIF(Settings!$B$83:$B$91,"&lt;="&amp;A68)</f>
        <v>9</v>
      </c>
      <c r="J68" s="9" t="n">
        <f aca="false">COUNTIF(Dishes!$J$5:$J$29,A68)</f>
        <v>0</v>
      </c>
      <c r="K68" s="9" t="n">
        <f aca="false">COUNTIF(Furniture!$F$5:$F$42,A68)</f>
        <v>0</v>
      </c>
      <c r="L68" s="9" t="n">
        <f aca="false">COUNTIF(Expansions!$E$5:$E$15,A68)</f>
        <v>0</v>
      </c>
      <c r="M68" s="32" t="n">
        <f aca="false">ROUNDUP(B68/(Settings!$B$25+Settings!$B$26),0)</f>
        <v>490</v>
      </c>
      <c r="N68" s="9" t="str">
        <f aca="false">IF(A68&lt;=Settings!$B$102,"Yes","No")</f>
        <v>No</v>
      </c>
    </row>
    <row r="69" customFormat="false" ht="15" hidden="false" customHeight="false" outlineLevel="0" collapsed="false">
      <c r="A69" s="2" t="n">
        <v>65</v>
      </c>
      <c r="B69" s="32" t="n">
        <f aca="false">Settings!$B$11+Settings!$B$12*A69</f>
        <v>3980</v>
      </c>
      <c r="C69" s="33" t="n">
        <f aca="false">C68+B68</f>
        <v>129920</v>
      </c>
      <c r="D69" s="32" t="n">
        <f aca="false">Settings!$B$14</f>
        <v>100</v>
      </c>
      <c r="E69" s="9" t="n">
        <f aca="false">Settings!$B$16+(A69&gt;=Settings!$B$17)</f>
        <v>4</v>
      </c>
      <c r="F69" s="9" t="n">
        <f aca="false">Settings!$B$18+(A69&gt;=Settings!$B$19)+(A69&gt;=Settings!$B$20)</f>
        <v>3</v>
      </c>
      <c r="G69" s="2" t="n">
        <f aca="false">E69*F69</f>
        <v>12</v>
      </c>
      <c r="H69" s="9" t="n">
        <f aca="false">Settings!$B$47+COUNTIF(Settings!$B$48:$B$53,"&lt;="&amp;A69)</f>
        <v>9</v>
      </c>
      <c r="I69" s="9" t="n">
        <f aca="false">COUNTIF(Settings!$B$83:$B$91,"&lt;="&amp;A69)</f>
        <v>9</v>
      </c>
      <c r="J69" s="9" t="n">
        <f aca="false">COUNTIF(Dishes!$J$5:$J$29,A69)</f>
        <v>0</v>
      </c>
      <c r="K69" s="9" t="n">
        <f aca="false">COUNTIF(Furniture!$F$5:$F$42,A69)</f>
        <v>0</v>
      </c>
      <c r="L69" s="9" t="n">
        <f aca="false">COUNTIF(Expansions!$E$5:$E$15,A69)</f>
        <v>0</v>
      </c>
      <c r="M69" s="32" t="n">
        <f aca="false">ROUNDUP(B69/(Settings!$B$25+Settings!$B$26),0)</f>
        <v>498</v>
      </c>
      <c r="N69" s="9" t="str">
        <f aca="false">IF(A69&lt;=Settings!$B$102,"Yes","No")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56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40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645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1.5" hidden="false" customHeight="true" outlineLevel="0" collapsed="false">
      <c r="A4" s="8" t="s">
        <v>646</v>
      </c>
      <c r="B4" s="8" t="s">
        <v>404</v>
      </c>
      <c r="C4" s="8" t="s">
        <v>647</v>
      </c>
      <c r="D4" s="8" t="s">
        <v>92</v>
      </c>
      <c r="E4" s="8" t="s">
        <v>316</v>
      </c>
    </row>
    <row r="5" customFormat="false" ht="15" hidden="false" customHeight="false" outlineLevel="0" collapsed="false">
      <c r="A5" s="10" t="s">
        <v>648</v>
      </c>
      <c r="B5" s="10" t="n">
        <v>1</v>
      </c>
      <c r="C5" s="2" t="s">
        <v>649</v>
      </c>
      <c r="D5" s="2" t="s">
        <v>97</v>
      </c>
      <c r="E5" s="10" t="s">
        <v>423</v>
      </c>
    </row>
    <row r="6" customFormat="false" ht="15" hidden="false" customHeight="false" outlineLevel="0" collapsed="false">
      <c r="A6" s="10" t="s">
        <v>650</v>
      </c>
      <c r="B6" s="10" t="n">
        <v>1</v>
      </c>
      <c r="C6" s="2" t="s">
        <v>651</v>
      </c>
      <c r="D6" s="2" t="s">
        <v>97</v>
      </c>
      <c r="E6" s="10" t="s">
        <v>423</v>
      </c>
    </row>
    <row r="7" customFormat="false" ht="15" hidden="false" customHeight="false" outlineLevel="0" collapsed="false">
      <c r="A7" s="10" t="s">
        <v>652</v>
      </c>
      <c r="B7" s="10" t="n">
        <v>6</v>
      </c>
      <c r="C7" s="2" t="s">
        <v>653</v>
      </c>
      <c r="D7" s="2" t="s">
        <v>115</v>
      </c>
      <c r="E7" s="10" t="s">
        <v>434</v>
      </c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34" t="s">
        <v>654</v>
      </c>
      <c r="B9" s="2"/>
      <c r="C9" s="2"/>
      <c r="D9" s="2"/>
      <c r="E9" s="2"/>
    </row>
    <row r="10" customFormat="false" ht="30" hidden="false" customHeight="true" outlineLevel="0" collapsed="false">
      <c r="A10" s="35" t="s">
        <v>655</v>
      </c>
      <c r="B10" s="35" t="s">
        <v>656</v>
      </c>
      <c r="C10" s="35" t="s">
        <v>657</v>
      </c>
      <c r="D10" s="35" t="s">
        <v>658</v>
      </c>
      <c r="E10" s="2"/>
    </row>
    <row r="11" customFormat="false" ht="15" hidden="false" customHeight="false" outlineLevel="0" collapsed="false">
      <c r="A11" s="9" t="n">
        <f aca="false">Settings!$B$9</f>
        <v>2</v>
      </c>
      <c r="B11" s="2" t="n">
        <f aca="false">A11+1</f>
        <v>3</v>
      </c>
      <c r="C11" s="9" t="n">
        <f aca="false">Settings!$B$59+Settings!$B$60*A11</f>
        <v>220</v>
      </c>
      <c r="D11" s="2" t="n">
        <f aca="false">SUM($C$11:C11)</f>
        <v>220</v>
      </c>
      <c r="E11" s="2"/>
    </row>
    <row r="12" customFormat="false" ht="15" hidden="false" customHeight="false" outlineLevel="0" collapsed="false">
      <c r="A12" s="12" t="n">
        <f aca="false">A11+1</f>
        <v>3</v>
      </c>
      <c r="B12" s="2" t="n">
        <f aca="false">A12+1</f>
        <v>4</v>
      </c>
      <c r="C12" s="9" t="n">
        <f aca="false">Settings!$B$59+Settings!$B$60*A12</f>
        <v>280</v>
      </c>
      <c r="D12" s="2" t="n">
        <f aca="false">SUM($C$11:C12)</f>
        <v>500</v>
      </c>
      <c r="E12" s="2"/>
    </row>
    <row r="13" customFormat="false" ht="15" hidden="false" customHeight="false" outlineLevel="0" collapsed="false">
      <c r="A13" s="12" t="n">
        <f aca="false">A12+1</f>
        <v>4</v>
      </c>
      <c r="B13" s="2" t="n">
        <f aca="false">A13+1</f>
        <v>5</v>
      </c>
      <c r="C13" s="9" t="n">
        <f aca="false">Settings!$B$59+Settings!$B$60*A13</f>
        <v>340</v>
      </c>
      <c r="D13" s="2" t="n">
        <f aca="false">SUM($C$11:C13)</f>
        <v>840</v>
      </c>
      <c r="E13" s="2"/>
    </row>
    <row r="14" customFormat="false" ht="15" hidden="false" customHeight="false" outlineLevel="0" collapsed="false">
      <c r="A14" s="12" t="n">
        <f aca="false">A13+1</f>
        <v>5</v>
      </c>
      <c r="B14" s="2" t="n">
        <f aca="false">A14+1</f>
        <v>6</v>
      </c>
      <c r="C14" s="9" t="n">
        <f aca="false">Settings!$B$59+Settings!$B$60*A14</f>
        <v>400</v>
      </c>
      <c r="D14" s="2" t="n">
        <f aca="false">SUM($C$11:C14)</f>
        <v>1240</v>
      </c>
      <c r="E14" s="2"/>
    </row>
    <row r="15" customFormat="false" ht="15" hidden="false" customHeight="false" outlineLevel="0" collapsed="false">
      <c r="A15" s="12" t="n">
        <f aca="false">A14+1</f>
        <v>6</v>
      </c>
      <c r="B15" s="2" t="n">
        <f aca="false">A15+1</f>
        <v>7</v>
      </c>
      <c r="C15" s="9" t="n">
        <f aca="false">Settings!$B$59+Settings!$B$60*A15</f>
        <v>460</v>
      </c>
      <c r="D15" s="2" t="n">
        <f aca="false">SUM($C$11:C15)</f>
        <v>1700</v>
      </c>
      <c r="E15" s="2"/>
    </row>
    <row r="16" customFormat="false" ht="15" hidden="false" customHeight="false" outlineLevel="0" collapsed="false">
      <c r="A16" s="12" t="n">
        <f aca="false">A15+1</f>
        <v>7</v>
      </c>
      <c r="B16" s="2" t="n">
        <f aca="false">A16+1</f>
        <v>8</v>
      </c>
      <c r="C16" s="9" t="n">
        <f aca="false">Settings!$B$59+Settings!$B$60*A16</f>
        <v>520</v>
      </c>
      <c r="D16" s="2" t="n">
        <f aca="false">SUM($C$11:C16)</f>
        <v>2220</v>
      </c>
      <c r="E16" s="2"/>
    </row>
    <row r="17" customFormat="false" ht="15" hidden="false" customHeight="false" outlineLevel="0" collapsed="false">
      <c r="A17" s="12" t="n">
        <f aca="false">A16+1</f>
        <v>8</v>
      </c>
      <c r="B17" s="2" t="n">
        <f aca="false">A17+1</f>
        <v>9</v>
      </c>
      <c r="C17" s="9" t="n">
        <f aca="false">Settings!$B$59+Settings!$B$60*A17</f>
        <v>580</v>
      </c>
      <c r="D17" s="2" t="n">
        <f aca="false">SUM($C$11:C17)</f>
        <v>2800</v>
      </c>
      <c r="E17" s="2"/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3" t="s">
        <v>659</v>
      </c>
      <c r="B19" s="2"/>
      <c r="C19" s="2"/>
      <c r="D19" s="2"/>
      <c r="E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660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661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662</v>
      </c>
      <c r="B4" s="10" t="n">
        <v>10</v>
      </c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663</v>
      </c>
      <c r="B5" s="36" t="n">
        <f aca="false">MIN(Settings!$B$34,Settings!$B$33*B4)</f>
        <v>0.3</v>
      </c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664</v>
      </c>
      <c r="B6" s="37" t="n">
        <f aca="false">Dishes!H32</f>
        <v>13.2</v>
      </c>
      <c r="C6" s="2"/>
      <c r="D6" s="2"/>
      <c r="E6" s="2"/>
      <c r="F6" s="2"/>
      <c r="G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34" t="s">
        <v>665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38" t="s">
        <v>666</v>
      </c>
      <c r="B9" s="38" t="n">
        <v>1</v>
      </c>
      <c r="C9" s="38" t="n">
        <v>5</v>
      </c>
      <c r="D9" s="38" t="n">
        <v>10</v>
      </c>
      <c r="E9" s="38" t="n">
        <v>20</v>
      </c>
      <c r="F9" s="38" t="n">
        <v>30</v>
      </c>
      <c r="G9" s="38" t="n">
        <v>50</v>
      </c>
    </row>
    <row r="10" customFormat="false" ht="15" hidden="false" customHeight="false" outlineLevel="0" collapsed="false">
      <c r="A10" s="6" t="n">
        <v>1</v>
      </c>
      <c r="B10" s="22" t="n">
        <f aca="false">60/MAX(Settings!$B$39,Settings!$B$36-Settings!$B$37*$A10-Settings!$B$38*B$9)</f>
        <v>7.84313725490196</v>
      </c>
      <c r="C10" s="22" t="n">
        <f aca="false">60/MAX(Settings!$B$39,Settings!$B$36-Settings!$B$37*$A10-Settings!$B$38*C$9)</f>
        <v>9.02255639097744</v>
      </c>
      <c r="D10" s="22" t="n">
        <f aca="false">60/MAX(Settings!$B$39,Settings!$B$36-Settings!$B$37*$A10-Settings!$B$38*D$9)</f>
        <v>11.1111111111111</v>
      </c>
      <c r="E10" s="22" t="n">
        <f aca="false">60/MAX(Settings!$B$39,Settings!$B$36-Settings!$B$37*$A10-Settings!$B$38*E$9)</f>
        <v>20.6896551724138</v>
      </c>
      <c r="F10" s="22" t="n">
        <f aca="false">60/MAX(Settings!$B$39,Settings!$B$36-Settings!$B$37*$A10-Settings!$B$38*F$9)</f>
        <v>27.2727272727273</v>
      </c>
      <c r="G10" s="22" t="n">
        <f aca="false">60/MAX(Settings!$B$39,Settings!$B$36-Settings!$B$37*$A10-Settings!$B$38*G$9)</f>
        <v>27.2727272727273</v>
      </c>
    </row>
    <row r="11" customFormat="false" ht="15" hidden="false" customHeight="false" outlineLevel="0" collapsed="false">
      <c r="A11" s="6" t="n">
        <v>2</v>
      </c>
      <c r="B11" s="22" t="n">
        <f aca="false">60/MAX(Settings!$B$39,Settings!$B$36-Settings!$B$37*$A11-Settings!$B$38*B$9)</f>
        <v>9.16030534351145</v>
      </c>
      <c r="C11" s="22" t="n">
        <f aca="false">60/MAX(Settings!$B$39,Settings!$B$36-Settings!$B$37*$A11-Settings!$B$38*C$9)</f>
        <v>10.8108108108108</v>
      </c>
      <c r="D11" s="22" t="n">
        <f aca="false">60/MAX(Settings!$B$39,Settings!$B$36-Settings!$B$37*$A11-Settings!$B$38*D$9)</f>
        <v>13.953488372093</v>
      </c>
      <c r="E11" s="22" t="n">
        <f aca="false">60/MAX(Settings!$B$39,Settings!$B$36-Settings!$B$37*$A11-Settings!$B$38*E$9)</f>
        <v>27.2727272727273</v>
      </c>
      <c r="F11" s="22" t="n">
        <f aca="false">60/MAX(Settings!$B$39,Settings!$B$36-Settings!$B$37*$A11-Settings!$B$38*F$9)</f>
        <v>27.2727272727273</v>
      </c>
      <c r="G11" s="22" t="n">
        <f aca="false">60/MAX(Settings!$B$39,Settings!$B$36-Settings!$B$37*$A11-Settings!$B$38*G$9)</f>
        <v>27.2727272727273</v>
      </c>
    </row>
    <row r="12" customFormat="false" ht="15" hidden="false" customHeight="false" outlineLevel="0" collapsed="false">
      <c r="A12" s="6" t="n">
        <v>3</v>
      </c>
      <c r="B12" s="22" t="n">
        <f aca="false">60/MAX(Settings!$B$39,Settings!$B$36-Settings!$B$37*$A12-Settings!$B$38*B$9)</f>
        <v>11.0091743119266</v>
      </c>
      <c r="C12" s="22" t="n">
        <f aca="false">60/MAX(Settings!$B$39,Settings!$B$36-Settings!$B$37*$A12-Settings!$B$38*C$9)</f>
        <v>13.4831460674157</v>
      </c>
      <c r="D12" s="22" t="n">
        <f aca="false">60/MAX(Settings!$B$39,Settings!$B$36-Settings!$B$37*$A12-Settings!$B$38*D$9)</f>
        <v>18.75</v>
      </c>
      <c r="E12" s="22" t="n">
        <f aca="false">60/MAX(Settings!$B$39,Settings!$B$36-Settings!$B$37*$A12-Settings!$B$38*E$9)</f>
        <v>27.2727272727273</v>
      </c>
      <c r="F12" s="22" t="n">
        <f aca="false">60/MAX(Settings!$B$39,Settings!$B$36-Settings!$B$37*$A12-Settings!$B$38*F$9)</f>
        <v>27.2727272727273</v>
      </c>
      <c r="G12" s="22" t="n">
        <f aca="false">60/MAX(Settings!$B$39,Settings!$B$36-Settings!$B$37*$A12-Settings!$B$38*G$9)</f>
        <v>27.2727272727273</v>
      </c>
    </row>
    <row r="13" customFormat="false" ht="15" hidden="false" customHeight="false" outlineLevel="0" collapsed="false">
      <c r="A13" s="6" t="n">
        <v>4</v>
      </c>
      <c r="B13" s="22" t="n">
        <f aca="false">60/MAX(Settings!$B$39,Settings!$B$36-Settings!$B$37*$A13-Settings!$B$38*B$9)</f>
        <v>13.7931034482759</v>
      </c>
      <c r="C13" s="22" t="n">
        <f aca="false">60/MAX(Settings!$B$39,Settings!$B$36-Settings!$B$37*$A13-Settings!$B$38*C$9)</f>
        <v>17.910447761194</v>
      </c>
      <c r="D13" s="22" t="n">
        <f aca="false">60/MAX(Settings!$B$39,Settings!$B$36-Settings!$B$37*$A13-Settings!$B$38*D$9)</f>
        <v>27.2727272727273</v>
      </c>
      <c r="E13" s="22" t="n">
        <f aca="false">60/MAX(Settings!$B$39,Settings!$B$36-Settings!$B$37*$A13-Settings!$B$38*E$9)</f>
        <v>27.2727272727273</v>
      </c>
      <c r="F13" s="22" t="n">
        <f aca="false">60/MAX(Settings!$B$39,Settings!$B$36-Settings!$B$37*$A13-Settings!$B$38*F$9)</f>
        <v>27.2727272727273</v>
      </c>
      <c r="G13" s="22" t="n">
        <f aca="false">60/MAX(Settings!$B$39,Settings!$B$36-Settings!$B$37*$A13-Settings!$B$38*G$9)</f>
        <v>27.2727272727273</v>
      </c>
    </row>
    <row r="14" customFormat="false" ht="15" hidden="false" customHeight="false" outlineLevel="0" collapsed="false">
      <c r="A14" s="6" t="n">
        <v>5</v>
      </c>
      <c r="B14" s="22" t="n">
        <f aca="false">60/MAX(Settings!$B$39,Settings!$B$36-Settings!$B$37*$A14-Settings!$B$38*B$9)</f>
        <v>18.4615384615385</v>
      </c>
      <c r="C14" s="22" t="n">
        <f aca="false">60/MAX(Settings!$B$39,Settings!$B$36-Settings!$B$37*$A14-Settings!$B$38*C$9)</f>
        <v>26.6666666666667</v>
      </c>
      <c r="D14" s="22" t="n">
        <f aca="false">60/MAX(Settings!$B$39,Settings!$B$36-Settings!$B$37*$A14-Settings!$B$38*D$9)</f>
        <v>27.2727272727273</v>
      </c>
      <c r="E14" s="22" t="n">
        <f aca="false">60/MAX(Settings!$B$39,Settings!$B$36-Settings!$B$37*$A14-Settings!$B$38*E$9)</f>
        <v>27.2727272727273</v>
      </c>
      <c r="F14" s="22" t="n">
        <f aca="false">60/MAX(Settings!$B$39,Settings!$B$36-Settings!$B$37*$A14-Settings!$B$38*F$9)</f>
        <v>27.2727272727273</v>
      </c>
      <c r="G14" s="22" t="n">
        <f aca="false">60/MAX(Settings!$B$39,Settings!$B$36-Settings!$B$37*$A14-Settings!$B$38*G$9)</f>
        <v>27.2727272727273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34" t="s">
        <v>667</v>
      </c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38" t="s">
        <v>666</v>
      </c>
      <c r="B17" s="38" t="n">
        <v>1</v>
      </c>
      <c r="C17" s="38" t="n">
        <v>5</v>
      </c>
      <c r="D17" s="38" t="n">
        <v>10</v>
      </c>
      <c r="E17" s="38" t="n">
        <v>20</v>
      </c>
      <c r="F17" s="38" t="n">
        <v>30</v>
      </c>
      <c r="G17" s="38" t="n">
        <v>50</v>
      </c>
    </row>
    <row r="18" customFormat="false" ht="15" hidden="false" customHeight="false" outlineLevel="0" collapsed="false">
      <c r="A18" s="6" t="n">
        <v>1</v>
      </c>
      <c r="B18" s="22" t="n">
        <f aca="false">B10*$B$6*(1+$B$5)</f>
        <v>134.588235294118</v>
      </c>
      <c r="C18" s="22" t="n">
        <f aca="false">C10*$B$6*(1+$B$5)</f>
        <v>154.827067669173</v>
      </c>
      <c r="D18" s="22" t="n">
        <f aca="false">D10*$B$6*(1+$B$5)</f>
        <v>190.666666666667</v>
      </c>
      <c r="E18" s="22" t="n">
        <f aca="false">E10*$B$6*(1+$B$5)</f>
        <v>355.034482758621</v>
      </c>
      <c r="F18" s="22" t="n">
        <f aca="false">F10*$B$6*(1+$B$5)</f>
        <v>468</v>
      </c>
      <c r="G18" s="22" t="n">
        <f aca="false">G10*$B$6*(1+$B$5)</f>
        <v>468</v>
      </c>
    </row>
    <row r="19" customFormat="false" ht="15" hidden="false" customHeight="false" outlineLevel="0" collapsed="false">
      <c r="A19" s="6" t="n">
        <v>2</v>
      </c>
      <c r="B19" s="22" t="n">
        <f aca="false">B11*$B$6*(1+$B$5)</f>
        <v>157.190839694657</v>
      </c>
      <c r="C19" s="22" t="n">
        <f aca="false">C11*$B$6*(1+$B$5)</f>
        <v>185.513513513514</v>
      </c>
      <c r="D19" s="22" t="n">
        <f aca="false">D11*$B$6*(1+$B$5)</f>
        <v>239.441860465116</v>
      </c>
      <c r="E19" s="22" t="n">
        <f aca="false">E11*$B$6*(1+$B$5)</f>
        <v>468</v>
      </c>
      <c r="F19" s="22" t="n">
        <f aca="false">F11*$B$6*(1+$B$5)</f>
        <v>468</v>
      </c>
      <c r="G19" s="22" t="n">
        <f aca="false">G11*$B$6*(1+$B$5)</f>
        <v>468</v>
      </c>
    </row>
    <row r="20" customFormat="false" ht="15" hidden="false" customHeight="false" outlineLevel="0" collapsed="false">
      <c r="A20" s="6" t="n">
        <v>3</v>
      </c>
      <c r="B20" s="22" t="n">
        <f aca="false">B12*$B$6*(1+$B$5)</f>
        <v>188.917431192661</v>
      </c>
      <c r="C20" s="22" t="n">
        <f aca="false">C12*$B$6*(1+$B$5)</f>
        <v>231.370786516854</v>
      </c>
      <c r="D20" s="22" t="n">
        <f aca="false">D12*$B$6*(1+$B$5)</f>
        <v>321.75</v>
      </c>
      <c r="E20" s="22" t="n">
        <f aca="false">E12*$B$6*(1+$B$5)</f>
        <v>468</v>
      </c>
      <c r="F20" s="22" t="n">
        <f aca="false">F12*$B$6*(1+$B$5)</f>
        <v>468</v>
      </c>
      <c r="G20" s="22" t="n">
        <f aca="false">G12*$B$6*(1+$B$5)</f>
        <v>468</v>
      </c>
    </row>
    <row r="21" customFormat="false" ht="15" hidden="false" customHeight="false" outlineLevel="0" collapsed="false">
      <c r="A21" s="6" t="n">
        <v>4</v>
      </c>
      <c r="B21" s="22" t="n">
        <f aca="false">B13*$B$6*(1+$B$5)</f>
        <v>236.689655172414</v>
      </c>
      <c r="C21" s="22" t="n">
        <f aca="false">C13*$B$6*(1+$B$5)</f>
        <v>307.34328358209</v>
      </c>
      <c r="D21" s="22" t="n">
        <f aca="false">D13*$B$6*(1+$B$5)</f>
        <v>468</v>
      </c>
      <c r="E21" s="22" t="n">
        <f aca="false">E13*$B$6*(1+$B$5)</f>
        <v>468</v>
      </c>
      <c r="F21" s="22" t="n">
        <f aca="false">F13*$B$6*(1+$B$5)</f>
        <v>468</v>
      </c>
      <c r="G21" s="22" t="n">
        <f aca="false">G13*$B$6*(1+$B$5)</f>
        <v>468</v>
      </c>
    </row>
    <row r="22" customFormat="false" ht="15" hidden="false" customHeight="false" outlineLevel="0" collapsed="false">
      <c r="A22" s="6" t="n">
        <v>5</v>
      </c>
      <c r="B22" s="22" t="n">
        <f aca="false">B14*$B$6*(1+$B$5)</f>
        <v>316.8</v>
      </c>
      <c r="C22" s="22" t="n">
        <f aca="false">C14*$B$6*(1+$B$5)</f>
        <v>457.6</v>
      </c>
      <c r="D22" s="22" t="n">
        <f aca="false">D14*$B$6*(1+$B$5)</f>
        <v>468</v>
      </c>
      <c r="E22" s="22" t="n">
        <f aca="false">E14*$B$6*(1+$B$5)</f>
        <v>468</v>
      </c>
      <c r="F22" s="22" t="n">
        <f aca="false">F14*$B$6*(1+$B$5)</f>
        <v>468</v>
      </c>
      <c r="G22" s="22" t="n">
        <f aca="false">G14*$B$6*(1+$B$5)</f>
        <v>468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3" t="s">
        <v>668</v>
      </c>
      <c r="B24" s="2"/>
      <c r="C24" s="2"/>
      <c r="D24" s="2"/>
      <c r="E24" s="2"/>
      <c r="F24" s="2"/>
      <c r="G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2026-10-03T10:24:51Z</dcterms:created>
  <dc:creator>openpyxl</dc:creator>
  <dc:description/>
  <dc:language>en-US</dc:language>
  <cp:lastModifiedBy/>
  <dcterms:modified xsi:type="dcterms:W3CDTF">2026-10-03T10:24:51Z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